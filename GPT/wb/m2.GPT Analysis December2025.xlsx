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INNGU\Downloads\monthly GPT\"/>
    </mc:Choice>
  </mc:AlternateContent>
  <xr:revisionPtr revIDLastSave="0" documentId="8_{3A14A971-AE70-4692-9FB4-2BBEB9794C8C}" xr6:coauthVersionLast="47" xr6:coauthVersionMax="47" xr10:uidLastSave="{00000000-0000-0000-0000-000000000000}"/>
  <bookViews>
    <workbookView xWindow="6045" yWindow="-20625" windowWidth="26250" windowHeight="18810" activeTab="2" xr2:uid="{EBFC0123-B86D-488F-97B0-020E9F102F8A}"/>
  </bookViews>
  <sheets>
    <sheet name="GPTData" sheetId="1" r:id="rId1"/>
    <sheet name="Recommendation" sheetId="2" r:id="rId2"/>
    <sheet name="DecMonthlyUsage" sheetId="3" r:id="rId3"/>
    <sheet name="CLG" sheetId="5" r:id="rId4"/>
  </sheets>
  <definedNames>
    <definedName name="_xlcn.WorksheetConnection_minhs3.RRAOpenAIWorkspaceMonthlyGPTReportDec31.xlsxTable11" hidden="1">Table1[]</definedName>
  </definedNames>
  <calcPr calcId="191028" iterateDelta="1E-4"/>
  <pivotCaches>
    <pivotCache cacheId="13"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inhs3.RRA OpenAI Workspace - Monthly GPT Report (Dec 3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41" i="1" l="1" a="1"/>
  <c r="N641" i="1" s="1"/>
  <c r="N640" i="1" a="1"/>
  <c r="N640" i="1" s="1"/>
  <c r="N639" i="1" a="1"/>
  <c r="N639" i="1" s="1"/>
  <c r="N638" i="1" a="1"/>
  <c r="N638" i="1" s="1"/>
  <c r="N637" i="1" a="1"/>
  <c r="N637" i="1" s="1"/>
  <c r="N636" i="1" a="1"/>
  <c r="N636" i="1" s="1"/>
  <c r="N255" i="1" a="1"/>
  <c r="N255" i="1" s="1"/>
  <c r="N635" i="1" a="1"/>
  <c r="N635" i="1" s="1"/>
  <c r="N254" i="1" a="1"/>
  <c r="N254" i="1" s="1"/>
  <c r="N634" i="1" a="1"/>
  <c r="N634" i="1" s="1"/>
  <c r="N633" i="1" a="1"/>
  <c r="N633" i="1" s="1"/>
  <c r="N632" i="1" a="1"/>
  <c r="N632" i="1" s="1"/>
  <c r="N631" i="1" a="1"/>
  <c r="N631" i="1" s="1"/>
  <c r="N253" i="1" a="1"/>
  <c r="N253" i="1" s="1"/>
  <c r="N296" i="1" a="1"/>
  <c r="N296" i="1" s="1"/>
  <c r="N252" i="1"/>
  <c r="N252" i="1" a="1"/>
  <c r="N630" i="1" a="1"/>
  <c r="N630" i="1" s="1"/>
  <c r="N629" i="1" a="1"/>
  <c r="N629" i="1" s="1"/>
  <c r="N628" i="1" a="1"/>
  <c r="N628" i="1" s="1"/>
  <c r="N627" i="1" a="1"/>
  <c r="N627" i="1" s="1"/>
  <c r="N626" i="1" a="1"/>
  <c r="N626" i="1" s="1"/>
  <c r="N625" i="1" a="1"/>
  <c r="N625" i="1" s="1"/>
  <c r="N624" i="1" a="1"/>
  <c r="N624" i="1" s="1"/>
  <c r="N623" i="1" a="1"/>
  <c r="N623" i="1" s="1"/>
  <c r="N251" i="1" a="1"/>
  <c r="N251" i="1" s="1"/>
  <c r="N622" i="1" a="1"/>
  <c r="N622" i="1" s="1"/>
  <c r="N621" i="1" a="1"/>
  <c r="N621" i="1" s="1"/>
  <c r="N620" i="1" a="1"/>
  <c r="N620" i="1" s="1"/>
  <c r="N619" i="1" a="1"/>
  <c r="N619" i="1" s="1"/>
  <c r="N618" i="1" a="1"/>
  <c r="N618" i="1" s="1"/>
  <c r="N295" i="1" a="1"/>
  <c r="N295" i="1" s="1"/>
  <c r="N617" i="1" a="1"/>
  <c r="N617" i="1" s="1"/>
  <c r="N294" i="1" a="1"/>
  <c r="N294" i="1" s="1"/>
  <c r="N616" i="1" a="1"/>
  <c r="N616" i="1" s="1"/>
  <c r="N615" i="1" a="1"/>
  <c r="N615" i="1" s="1"/>
  <c r="N293" i="1" a="1"/>
  <c r="N293" i="1" s="1"/>
  <c r="N614" i="1" a="1"/>
  <c r="N614" i="1" s="1"/>
  <c r="N250" i="1" a="1"/>
  <c r="N250" i="1" s="1"/>
  <c r="N292" i="1" a="1"/>
  <c r="N292" i="1" s="1"/>
  <c r="N291" i="1" a="1"/>
  <c r="N291" i="1" s="1"/>
  <c r="N290" i="1" a="1"/>
  <c r="N290" i="1" s="1"/>
  <c r="N289" i="1" a="1"/>
  <c r="N289" i="1" s="1"/>
  <c r="N288" i="1" a="1"/>
  <c r="N288" i="1" s="1"/>
  <c r="N287" i="1" a="1"/>
  <c r="N287" i="1" s="1"/>
  <c r="N286" i="1" a="1"/>
  <c r="N286" i="1" s="1"/>
  <c r="N285" i="1" a="1"/>
  <c r="N285" i="1" s="1"/>
  <c r="N98" i="1" a="1"/>
  <c r="N98" i="1" s="1"/>
  <c r="N284" i="1" a="1"/>
  <c r="N284" i="1" s="1"/>
  <c r="N613" i="1" a="1"/>
  <c r="N613" i="1" s="1"/>
  <c r="N249" i="1" a="1"/>
  <c r="N249" i="1" s="1"/>
  <c r="N612" i="1" a="1"/>
  <c r="N612" i="1" s="1"/>
  <c r="N611" i="1" a="1"/>
  <c r="N611" i="1" s="1"/>
  <c r="N248" i="1" a="1"/>
  <c r="N248" i="1" s="1"/>
  <c r="N97" i="1" a="1"/>
  <c r="N97" i="1" s="1"/>
  <c r="N96" i="1" a="1"/>
  <c r="N96" i="1" s="1"/>
  <c r="N610" i="1" a="1"/>
  <c r="N610" i="1" s="1"/>
  <c r="N609" i="1" a="1"/>
  <c r="N609" i="1" s="1"/>
  <c r="N608" i="1" a="1"/>
  <c r="N608" i="1" s="1"/>
  <c r="N247" i="1" a="1"/>
  <c r="N247" i="1" s="1"/>
  <c r="N246" i="1" a="1"/>
  <c r="N246" i="1" s="1"/>
  <c r="N283" i="1" a="1"/>
  <c r="N283" i="1" s="1"/>
  <c r="N245" i="1" a="1"/>
  <c r="N245" i="1" s="1"/>
  <c r="N282" i="1" a="1"/>
  <c r="N282" i="1" s="1"/>
  <c r="N281" i="1" a="1"/>
  <c r="N281" i="1" s="1"/>
  <c r="N244" i="1" a="1"/>
  <c r="N244" i="1" s="1"/>
  <c r="N607" i="1" a="1"/>
  <c r="N607" i="1" s="1"/>
  <c r="N606" i="1" a="1"/>
  <c r="N606" i="1" s="1"/>
  <c r="N95" i="1" a="1"/>
  <c r="N95" i="1" s="1"/>
  <c r="N605" i="1" a="1"/>
  <c r="N605" i="1" s="1"/>
  <c r="N604" i="1" a="1"/>
  <c r="N604" i="1" s="1"/>
  <c r="N603" i="1" a="1"/>
  <c r="N603" i="1" s="1"/>
  <c r="N602" i="1" a="1"/>
  <c r="N602" i="1" s="1"/>
  <c r="N133" i="1" a="1"/>
  <c r="N133" i="1" s="1"/>
  <c r="N601" i="1" a="1"/>
  <c r="N601" i="1" s="1"/>
  <c r="N600" i="1" a="1"/>
  <c r="N600" i="1" s="1"/>
  <c r="N599" i="1" a="1"/>
  <c r="N599" i="1" s="1"/>
  <c r="N243" i="1" a="1"/>
  <c r="N243" i="1" s="1"/>
  <c r="N598" i="1" a="1"/>
  <c r="N598" i="1" s="1"/>
  <c r="N597" i="1" a="1"/>
  <c r="N597" i="1" s="1"/>
  <c r="N132" i="1" a="1"/>
  <c r="N132" i="1" s="1"/>
  <c r="N131" i="1" a="1"/>
  <c r="N131" i="1" s="1"/>
  <c r="N130" i="1" a="1"/>
  <c r="N130" i="1" s="1"/>
  <c r="N129" i="1" a="1"/>
  <c r="N129" i="1" s="1"/>
  <c r="N128" i="1" a="1"/>
  <c r="N128" i="1" s="1"/>
  <c r="N127" i="1" a="1"/>
  <c r="N127" i="1" s="1"/>
  <c r="N126" i="1" a="1"/>
  <c r="N126" i="1" s="1"/>
  <c r="N125" i="1" a="1"/>
  <c r="N125" i="1" s="1"/>
  <c r="N242" i="1" a="1"/>
  <c r="N242" i="1" s="1"/>
  <c r="N241" i="1" a="1"/>
  <c r="N241" i="1" s="1"/>
  <c r="N596" i="1" a="1"/>
  <c r="N596" i="1" s="1"/>
  <c r="N240" i="1" a="1"/>
  <c r="N240" i="1" s="1"/>
  <c r="N595" i="1" a="1"/>
  <c r="N595" i="1" s="1"/>
  <c r="N239" i="1" a="1"/>
  <c r="N239" i="1" s="1"/>
  <c r="N594" i="1" a="1"/>
  <c r="N594" i="1" s="1"/>
  <c r="N36" i="1" a="1"/>
  <c r="N36" i="1" s="1"/>
  <c r="N593" i="1" a="1"/>
  <c r="N593" i="1" s="1"/>
  <c r="N592" i="1" a="1"/>
  <c r="N592" i="1" s="1"/>
  <c r="N591" i="1" a="1"/>
  <c r="N591" i="1" s="1"/>
  <c r="N590" i="1" a="1"/>
  <c r="N590" i="1" s="1"/>
  <c r="N589" i="1" a="1"/>
  <c r="N589" i="1" s="1"/>
  <c r="N588" i="1" a="1"/>
  <c r="N588" i="1" s="1"/>
  <c r="N587" i="1" a="1"/>
  <c r="N587" i="1" s="1"/>
  <c r="N586" i="1" a="1"/>
  <c r="N586" i="1" s="1"/>
  <c r="N585" i="1" a="1"/>
  <c r="N585" i="1" s="1"/>
  <c r="N584" i="1" a="1"/>
  <c r="N584" i="1" s="1"/>
  <c r="N238" i="1" a="1"/>
  <c r="N238" i="1" s="1"/>
  <c r="N583" i="1" a="1"/>
  <c r="N583" i="1" s="1"/>
  <c r="N237" i="1" a="1"/>
  <c r="N237" i="1" s="1"/>
  <c r="N582" i="1" a="1"/>
  <c r="N582" i="1" s="1"/>
  <c r="N236" i="1" a="1"/>
  <c r="N236" i="1" s="1"/>
  <c r="N581" i="1" a="1"/>
  <c r="N581" i="1" s="1"/>
  <c r="N580" i="1" a="1"/>
  <c r="N580" i="1" s="1"/>
  <c r="N579" i="1" a="1"/>
  <c r="N579" i="1" s="1"/>
  <c r="N578" i="1" a="1"/>
  <c r="N578" i="1" s="1"/>
  <c r="N577" i="1" a="1"/>
  <c r="N577" i="1" s="1"/>
  <c r="N235" i="1" a="1"/>
  <c r="N235" i="1" s="1"/>
  <c r="N576" i="1" a="1"/>
  <c r="N576" i="1" s="1"/>
  <c r="N575" i="1" a="1"/>
  <c r="N575" i="1" s="1"/>
  <c r="N574" i="1" a="1"/>
  <c r="N574" i="1" s="1"/>
  <c r="N573" i="1" a="1"/>
  <c r="N573" i="1" s="1"/>
  <c r="N234" i="1" a="1"/>
  <c r="N234" i="1" s="1"/>
  <c r="N572" i="1" a="1"/>
  <c r="N572" i="1" s="1"/>
  <c r="N571" i="1" a="1"/>
  <c r="N571" i="1" s="1"/>
  <c r="N570" i="1" a="1"/>
  <c r="N570" i="1" s="1"/>
  <c r="N233" i="1" a="1"/>
  <c r="N233" i="1" s="1"/>
  <c r="N35" i="1" a="1"/>
  <c r="N35" i="1" s="1"/>
  <c r="N280" i="1" a="1"/>
  <c r="N280" i="1" s="1"/>
  <c r="N34" i="1" a="1"/>
  <c r="N34" i="1" s="1"/>
  <c r="N569" i="1" a="1"/>
  <c r="N569" i="1" s="1"/>
  <c r="N232" i="1" a="1"/>
  <c r="N232" i="1" s="1"/>
  <c r="N231" i="1" a="1"/>
  <c r="N231" i="1" s="1"/>
  <c r="N230" i="1" a="1"/>
  <c r="N230" i="1" s="1"/>
  <c r="N33" i="1" a="1"/>
  <c r="N33" i="1" s="1"/>
  <c r="N229" i="1" a="1"/>
  <c r="N229" i="1" s="1"/>
  <c r="N279" i="1" a="1"/>
  <c r="N279" i="1" s="1"/>
  <c r="N317" i="1" a="1"/>
  <c r="N317" i="1" s="1"/>
  <c r="N228" i="1" a="1"/>
  <c r="N228" i="1" s="1"/>
  <c r="N227" i="1" a="1"/>
  <c r="N227" i="1" s="1"/>
  <c r="N226" i="1" a="1"/>
  <c r="N226" i="1" s="1"/>
  <c r="N225" i="1" a="1"/>
  <c r="N225" i="1" s="1"/>
  <c r="N568" i="1" a="1"/>
  <c r="N568" i="1" s="1"/>
  <c r="N567" i="1" a="1"/>
  <c r="N567" i="1" s="1"/>
  <c r="N566" i="1" a="1"/>
  <c r="N566" i="1" s="1"/>
  <c r="N565" i="1" a="1"/>
  <c r="N565" i="1" s="1"/>
  <c r="N564" i="1" a="1"/>
  <c r="N564" i="1" s="1"/>
  <c r="N563" i="1" a="1"/>
  <c r="N563" i="1" s="1"/>
  <c r="N224" i="1" a="1"/>
  <c r="N224" i="1" s="1"/>
  <c r="N562" i="1" a="1"/>
  <c r="N562" i="1" s="1"/>
  <c r="N561" i="1" a="1"/>
  <c r="N561" i="1" s="1"/>
  <c r="N32" i="1" a="1"/>
  <c r="N32" i="1" s="1"/>
  <c r="N560" i="1" a="1"/>
  <c r="N560" i="1" s="1"/>
  <c r="N559" i="1" a="1"/>
  <c r="N559" i="1" s="1"/>
  <c r="N223" i="1" a="1"/>
  <c r="N223" i="1" s="1"/>
  <c r="N558" i="1" a="1"/>
  <c r="N558" i="1" s="1"/>
  <c r="N94" i="1" a="1"/>
  <c r="N94" i="1" s="1"/>
  <c r="N557" i="1" a="1"/>
  <c r="N557" i="1" s="1"/>
  <c r="N556" i="1" a="1"/>
  <c r="N556" i="1" s="1"/>
  <c r="N31" i="1" a="1"/>
  <c r="N31" i="1" s="1"/>
  <c r="N222" i="1" a="1"/>
  <c r="N222" i="1" s="1"/>
  <c r="N221" i="1" a="1"/>
  <c r="N221" i="1" s="1"/>
  <c r="N555" i="1" a="1"/>
  <c r="N555" i="1" s="1"/>
  <c r="N554" i="1" a="1"/>
  <c r="N554" i="1" s="1"/>
  <c r="N124" i="1" a="1"/>
  <c r="N124" i="1" s="1"/>
  <c r="N316" i="1" a="1"/>
  <c r="N316" i="1" s="1"/>
  <c r="N220" i="1" a="1"/>
  <c r="N220" i="1" s="1"/>
  <c r="N553" i="1" a="1"/>
  <c r="N553" i="1" s="1"/>
  <c r="N552" i="1" a="1"/>
  <c r="N552" i="1" s="1"/>
  <c r="N93" i="1" a="1"/>
  <c r="N93" i="1" s="1"/>
  <c r="N219" i="1" a="1"/>
  <c r="N219" i="1" s="1"/>
  <c r="N218" i="1" a="1"/>
  <c r="N218" i="1" s="1"/>
  <c r="N92" i="1" a="1"/>
  <c r="N92" i="1" s="1"/>
  <c r="N278" i="1" a="1"/>
  <c r="N278" i="1" s="1"/>
  <c r="N91" i="1" a="1"/>
  <c r="N91" i="1" s="1"/>
  <c r="N551" i="1" a="1"/>
  <c r="N551" i="1" s="1"/>
  <c r="N550" i="1" a="1"/>
  <c r="N550" i="1" s="1"/>
  <c r="N549" i="1" a="1"/>
  <c r="N549" i="1" s="1"/>
  <c r="N548" i="1" a="1"/>
  <c r="N548" i="1" s="1"/>
  <c r="N547" i="1" a="1"/>
  <c r="N547" i="1" s="1"/>
  <c r="N546" i="1" a="1"/>
  <c r="N546" i="1" s="1"/>
  <c r="N545" i="1" a="1"/>
  <c r="N545" i="1" s="1"/>
  <c r="N123" i="1" a="1"/>
  <c r="N123" i="1" s="1"/>
  <c r="N217" i="1" a="1"/>
  <c r="N217" i="1" s="1"/>
  <c r="N30" i="1" a="1"/>
  <c r="N30" i="1" s="1"/>
  <c r="N216" i="1" a="1"/>
  <c r="N216" i="1" s="1"/>
  <c r="N215" i="1" a="1"/>
  <c r="N215" i="1" s="1"/>
  <c r="N214" i="1" a="1"/>
  <c r="N214" i="1" s="1"/>
  <c r="N544" i="1" a="1"/>
  <c r="N544" i="1" s="1"/>
  <c r="N90" i="1" a="1"/>
  <c r="N90" i="1" s="1"/>
  <c r="N543" i="1" a="1"/>
  <c r="N543" i="1" s="1"/>
  <c r="N29" i="1" a="1"/>
  <c r="N29" i="1" s="1"/>
  <c r="N542" i="1" a="1"/>
  <c r="N542" i="1" s="1"/>
  <c r="N277" i="1" a="1"/>
  <c r="N277" i="1" s="1"/>
  <c r="N541" i="1" a="1"/>
  <c r="N541" i="1" s="1"/>
  <c r="N122" i="1" a="1"/>
  <c r="N122" i="1" s="1"/>
  <c r="N28" i="1" a="1"/>
  <c r="N28" i="1" s="1"/>
  <c r="N213" i="1" a="1"/>
  <c r="N213" i="1" s="1"/>
  <c r="N89" i="1" a="1"/>
  <c r="N89" i="1" s="1"/>
  <c r="N540" i="1" a="1"/>
  <c r="N540" i="1" s="1"/>
  <c r="N27" i="1" a="1"/>
  <c r="N27" i="1" s="1"/>
  <c r="N539" i="1" a="1"/>
  <c r="N539" i="1" s="1"/>
  <c r="N26" i="1" a="1"/>
  <c r="N26" i="1" s="1"/>
  <c r="N212" i="1" a="1"/>
  <c r="N212" i="1" s="1"/>
  <c r="N538" i="1" a="1"/>
  <c r="N538" i="1" s="1"/>
  <c r="N537" i="1" a="1"/>
  <c r="N537" i="1" s="1"/>
  <c r="N536" i="1" a="1"/>
  <c r="N536" i="1" s="1"/>
  <c r="N211" i="1" a="1"/>
  <c r="N211" i="1" s="1"/>
  <c r="N535" i="1" a="1"/>
  <c r="N535" i="1" s="1"/>
  <c r="N534" i="1" a="1"/>
  <c r="N534" i="1" s="1"/>
  <c r="N533" i="1" a="1"/>
  <c r="N533" i="1" s="1"/>
  <c r="N532" i="1" a="1"/>
  <c r="N532" i="1" s="1"/>
  <c r="N210" i="1" a="1"/>
  <c r="N210" i="1" s="1"/>
  <c r="N531" i="1" a="1"/>
  <c r="N531" i="1" s="1"/>
  <c r="N530" i="1" a="1"/>
  <c r="N530" i="1" s="1"/>
  <c r="N529" i="1" a="1"/>
  <c r="N529" i="1" s="1"/>
  <c r="N528" i="1" a="1"/>
  <c r="N528" i="1" s="1"/>
  <c r="N527" i="1" a="1"/>
  <c r="N527" i="1" s="1"/>
  <c r="N526" i="1" a="1"/>
  <c r="N526" i="1" s="1"/>
  <c r="N525" i="1" a="1"/>
  <c r="N525" i="1" s="1"/>
  <c r="N524" i="1" a="1"/>
  <c r="N524" i="1" s="1"/>
  <c r="N315" i="1" a="1"/>
  <c r="N315" i="1" s="1"/>
  <c r="N209" i="1" a="1"/>
  <c r="N209" i="1" s="1"/>
  <c r="N276" i="1" a="1"/>
  <c r="N276" i="1" s="1"/>
  <c r="N523" i="1" a="1"/>
  <c r="N523" i="1" s="1"/>
  <c r="N88" i="1" a="1"/>
  <c r="N88" i="1" s="1"/>
  <c r="N314" i="1" a="1"/>
  <c r="N314" i="1" s="1"/>
  <c r="N208" i="1" a="1"/>
  <c r="N208" i="1" s="1"/>
  <c r="N522" i="1" a="1"/>
  <c r="N522" i="1" s="1"/>
  <c r="N207" i="1" a="1"/>
  <c r="N207" i="1" s="1"/>
  <c r="N87" i="1" a="1"/>
  <c r="N87" i="1" s="1"/>
  <c r="N275" i="1" a="1"/>
  <c r="N275" i="1" s="1"/>
  <c r="N25" i="1" a="1"/>
  <c r="N25" i="1" s="1"/>
  <c r="N24" i="1" a="1"/>
  <c r="N24" i="1" s="1"/>
  <c r="N206" i="1" a="1"/>
  <c r="N206" i="1" s="1"/>
  <c r="N274" i="1" a="1"/>
  <c r="N274" i="1" s="1"/>
  <c r="N521" i="1" a="1"/>
  <c r="N521" i="1" s="1"/>
  <c r="N23" i="1" a="1"/>
  <c r="N23" i="1" s="1"/>
  <c r="N86" i="1" a="1"/>
  <c r="N86" i="1" s="1"/>
  <c r="N205" i="1" a="1"/>
  <c r="N205" i="1" s="1"/>
  <c r="N121" i="1" a="1"/>
  <c r="N121" i="1" s="1"/>
  <c r="N273" i="1" a="1"/>
  <c r="N273" i="1" s="1"/>
  <c r="N204" i="1" a="1"/>
  <c r="N204" i="1" s="1"/>
  <c r="N203" i="1" a="1"/>
  <c r="N203" i="1" s="1"/>
  <c r="N520" i="1" a="1"/>
  <c r="N520" i="1" s="1"/>
  <c r="N519" i="1" a="1"/>
  <c r="N519" i="1" s="1"/>
  <c r="N518" i="1" a="1"/>
  <c r="N518" i="1" s="1"/>
  <c r="N517" i="1" a="1"/>
  <c r="N517" i="1" s="1"/>
  <c r="N120" i="1" a="1"/>
  <c r="N120" i="1" s="1"/>
  <c r="N85" i="1" a="1"/>
  <c r="N85" i="1" s="1"/>
  <c r="N202" i="1" a="1"/>
  <c r="N202" i="1" s="1"/>
  <c r="N201" i="1" a="1"/>
  <c r="N201" i="1" s="1"/>
  <c r="N516" i="1" a="1"/>
  <c r="N516" i="1" s="1"/>
  <c r="N515" i="1" a="1"/>
  <c r="N515" i="1" s="1"/>
  <c r="N514" i="1" a="1"/>
  <c r="N514" i="1" s="1"/>
  <c r="N513" i="1" a="1"/>
  <c r="N513" i="1" s="1"/>
  <c r="N512" i="1" a="1"/>
  <c r="N512" i="1" s="1"/>
  <c r="N511" i="1" a="1"/>
  <c r="N511" i="1" s="1"/>
  <c r="N510" i="1" a="1"/>
  <c r="N510" i="1" s="1"/>
  <c r="N200" i="1" a="1"/>
  <c r="N200" i="1" s="1"/>
  <c r="N509" i="1" a="1"/>
  <c r="N509" i="1" s="1"/>
  <c r="N22" i="1" a="1"/>
  <c r="N22" i="1" s="1"/>
  <c r="N21" i="1" a="1"/>
  <c r="N21" i="1" s="1"/>
  <c r="N20" i="1" a="1"/>
  <c r="N20" i="1" s="1"/>
  <c r="N199" i="1" a="1"/>
  <c r="N199" i="1" s="1"/>
  <c r="N508" i="1" a="1"/>
  <c r="N508" i="1" s="1"/>
  <c r="N507" i="1" a="1"/>
  <c r="N507" i="1" s="1"/>
  <c r="N506" i="1" a="1"/>
  <c r="N506" i="1" s="1"/>
  <c r="N505" i="1" a="1"/>
  <c r="N505" i="1" s="1"/>
  <c r="N504" i="1" a="1"/>
  <c r="N504" i="1" s="1"/>
  <c r="N503" i="1" a="1"/>
  <c r="N503" i="1" s="1"/>
  <c r="N502" i="1" a="1"/>
  <c r="N502" i="1" s="1"/>
  <c r="N119" i="1" a="1"/>
  <c r="N119" i="1" s="1"/>
  <c r="N198" i="1" a="1"/>
  <c r="N198" i="1" s="1"/>
  <c r="N501" i="1" a="1"/>
  <c r="N501" i="1" s="1"/>
  <c r="N84" i="1" a="1"/>
  <c r="N84" i="1" s="1"/>
  <c r="N83" i="1" a="1"/>
  <c r="N83" i="1" s="1"/>
  <c r="N118" i="1" a="1"/>
  <c r="N118" i="1" s="1"/>
  <c r="N117" i="1" a="1"/>
  <c r="N117" i="1" s="1"/>
  <c r="N500" i="1" a="1"/>
  <c r="N500" i="1" s="1"/>
  <c r="N499" i="1" a="1"/>
  <c r="N499" i="1" s="1"/>
  <c r="N82" i="1" a="1"/>
  <c r="N82" i="1" s="1"/>
  <c r="N81" i="1" a="1"/>
  <c r="N81" i="1" s="1"/>
  <c r="N498" i="1" a="1"/>
  <c r="N498" i="1" s="1"/>
  <c r="N497" i="1" a="1"/>
  <c r="N497" i="1" s="1"/>
  <c r="N496" i="1" a="1"/>
  <c r="N496" i="1" s="1"/>
  <c r="N495" i="1" a="1"/>
  <c r="N495" i="1" s="1"/>
  <c r="N494" i="1" a="1"/>
  <c r="N494" i="1" s="1"/>
  <c r="N493" i="1" a="1"/>
  <c r="N493" i="1" s="1"/>
  <c r="N492" i="1" a="1"/>
  <c r="N492" i="1" s="1"/>
  <c r="N313" i="1" a="1"/>
  <c r="N313" i="1" s="1"/>
  <c r="N197" i="1" a="1"/>
  <c r="N197" i="1" s="1"/>
  <c r="N196" i="1" a="1"/>
  <c r="N196" i="1" s="1"/>
  <c r="N195" i="1" a="1"/>
  <c r="N195" i="1" s="1"/>
  <c r="N194" i="1" a="1"/>
  <c r="N194" i="1" s="1"/>
  <c r="N272" i="1" a="1"/>
  <c r="N272" i="1" s="1"/>
  <c r="N116" i="1" a="1"/>
  <c r="N116" i="1" s="1"/>
  <c r="N491" i="1" a="1"/>
  <c r="N491" i="1" s="1"/>
  <c r="N490" i="1" a="1"/>
  <c r="N490" i="1" s="1"/>
  <c r="N312" i="1" a="1"/>
  <c r="N312" i="1" s="1"/>
  <c r="N19" i="1" a="1"/>
  <c r="N19" i="1" s="1"/>
  <c r="N489" i="1" a="1"/>
  <c r="N489" i="1" s="1"/>
  <c r="N271" i="1" a="1"/>
  <c r="N271" i="1" s="1"/>
  <c r="N80" i="1" a="1"/>
  <c r="N80" i="1" s="1"/>
  <c r="N193" i="1" a="1"/>
  <c r="N193" i="1" s="1"/>
  <c r="N18" i="1" a="1"/>
  <c r="N18" i="1" s="1"/>
  <c r="N192" i="1" a="1"/>
  <c r="N192" i="1" s="1"/>
  <c r="N79" i="1" a="1"/>
  <c r="N79" i="1" s="1"/>
  <c r="N78" i="1" a="1"/>
  <c r="N78" i="1" s="1"/>
  <c r="N311" i="1" a="1"/>
  <c r="N311" i="1" s="1"/>
  <c r="N270" i="1" a="1"/>
  <c r="N270" i="1" s="1"/>
  <c r="N115" i="1" a="1"/>
  <c r="N115" i="1" s="1"/>
  <c r="N488" i="1" a="1"/>
  <c r="N488" i="1" s="1"/>
  <c r="N310" i="1" a="1"/>
  <c r="N310"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309" i="1" a="1"/>
  <c r="N309" i="1" s="1"/>
  <c r="N477" i="1" a="1"/>
  <c r="N477" i="1" s="1"/>
  <c r="N476" i="1" a="1"/>
  <c r="N476" i="1" s="1"/>
  <c r="N77" i="1" a="1"/>
  <c r="N77" i="1" s="1"/>
  <c r="N191" i="1" a="1"/>
  <c r="N191" i="1" s="1"/>
  <c r="N17" i="1" a="1"/>
  <c r="N17" i="1" s="1"/>
  <c r="N190" i="1" a="1"/>
  <c r="N190" i="1" s="1"/>
  <c r="N475" i="1" a="1"/>
  <c r="N475" i="1" s="1"/>
  <c r="N189" i="1" a="1"/>
  <c r="N189" i="1" s="1"/>
  <c r="N16" i="1" a="1"/>
  <c r="N16" i="1" s="1"/>
  <c r="N188" i="1" a="1"/>
  <c r="N188" i="1" s="1"/>
  <c r="N474" i="1" a="1"/>
  <c r="N474" i="1" s="1"/>
  <c r="N76" i="1" a="1"/>
  <c r="N76" i="1" s="1"/>
  <c r="N187" i="1" a="1"/>
  <c r="N187" i="1" s="1"/>
  <c r="N15" i="1" a="1"/>
  <c r="N15" i="1" s="1"/>
  <c r="N473" i="1" a="1"/>
  <c r="N473" i="1" s="1"/>
  <c r="N186" i="1" a="1"/>
  <c r="N186" i="1" s="1"/>
  <c r="N114" i="1" a="1"/>
  <c r="N114" i="1" s="1"/>
  <c r="N472" i="1" a="1"/>
  <c r="N472" i="1" s="1"/>
  <c r="N471" i="1" a="1"/>
  <c r="N471" i="1" s="1"/>
  <c r="N470" i="1" a="1"/>
  <c r="N470" i="1" s="1"/>
  <c r="N469" i="1" a="1"/>
  <c r="N469" i="1" s="1"/>
  <c r="N468" i="1" a="1"/>
  <c r="N468" i="1" s="1"/>
  <c r="N467" i="1" a="1"/>
  <c r="N467" i="1" s="1"/>
  <c r="N466" i="1" a="1"/>
  <c r="N466" i="1" s="1"/>
  <c r="N465" i="1" a="1"/>
  <c r="N465" i="1" s="1"/>
  <c r="N75" i="1" a="1"/>
  <c r="N75" i="1" s="1"/>
  <c r="N185" i="1" a="1"/>
  <c r="N185" i="1" s="1"/>
  <c r="N464" i="1" a="1"/>
  <c r="N464" i="1" s="1"/>
  <c r="N184" i="1" a="1"/>
  <c r="N184" i="1" s="1"/>
  <c r="N74" i="1" a="1"/>
  <c r="N74" i="1" s="1"/>
  <c r="N463" i="1" a="1"/>
  <c r="N463" i="1" s="1"/>
  <c r="N308" i="1" a="1"/>
  <c r="N308" i="1" s="1"/>
  <c r="N14" i="1" a="1"/>
  <c r="N14" i="1" s="1"/>
  <c r="N13" i="1" a="1"/>
  <c r="N13" i="1" s="1"/>
  <c r="N462" i="1" a="1"/>
  <c r="N462" i="1" s="1"/>
  <c r="N461" i="1" a="1"/>
  <c r="N461" i="1" s="1"/>
  <c r="N460" i="1" a="1"/>
  <c r="N460" i="1" s="1"/>
  <c r="N459" i="1" a="1"/>
  <c r="N459" i="1" s="1"/>
  <c r="N458" i="1" a="1"/>
  <c r="N458" i="1" s="1"/>
  <c r="N73" i="1" a="1"/>
  <c r="N73" i="1" s="1"/>
  <c r="N457" i="1" a="1"/>
  <c r="N457" i="1" s="1"/>
  <c r="N269" i="1" a="1"/>
  <c r="N269" i="1" s="1"/>
  <c r="N183" i="1" a="1"/>
  <c r="N183"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72" i="1" a="1"/>
  <c r="N72" i="1" s="1"/>
  <c r="N182" i="1" a="1"/>
  <c r="N182" i="1" s="1"/>
  <c r="N181" i="1" a="1"/>
  <c r="N181" i="1" s="1"/>
  <c r="N444" i="1" a="1"/>
  <c r="N444" i="1" s="1"/>
  <c r="N443" i="1" a="1"/>
  <c r="N443" i="1" s="1"/>
  <c r="N442" i="1" a="1"/>
  <c r="N442" i="1" s="1"/>
  <c r="N268" i="1" a="1"/>
  <c r="N268" i="1" s="1"/>
  <c r="N441" i="1" a="1"/>
  <c r="N441" i="1" s="1"/>
  <c r="N440" i="1" a="1"/>
  <c r="N440" i="1" s="1"/>
  <c r="N439" i="1" a="1"/>
  <c r="N439" i="1" s="1"/>
  <c r="N267" i="1" a="1"/>
  <c r="N267" i="1" s="1"/>
  <c r="N266" i="1" a="1"/>
  <c r="N266" i="1" s="1"/>
  <c r="N438" i="1" a="1"/>
  <c r="N438" i="1" s="1"/>
  <c r="N437" i="1" a="1"/>
  <c r="N437" i="1" s="1"/>
  <c r="N436" i="1" a="1"/>
  <c r="N436" i="1" s="1"/>
  <c r="N435" i="1" a="1"/>
  <c r="N435" i="1" s="1"/>
  <c r="N434" i="1" a="1"/>
  <c r="N434" i="1" s="1"/>
  <c r="N433" i="1" a="1"/>
  <c r="N433" i="1" s="1"/>
  <c r="N432" i="1" a="1"/>
  <c r="N432" i="1" s="1"/>
  <c r="N265" i="1" a="1"/>
  <c r="N265" i="1" s="1"/>
  <c r="N264" i="1" a="1"/>
  <c r="N264" i="1" s="1"/>
  <c r="N431" i="1" a="1"/>
  <c r="N431" i="1" s="1"/>
  <c r="N430" i="1" a="1"/>
  <c r="N430" i="1" s="1"/>
  <c r="N429" i="1" a="1"/>
  <c r="N429" i="1" s="1"/>
  <c r="N428" i="1" a="1"/>
  <c r="N428" i="1" s="1"/>
  <c r="N427" i="1" a="1"/>
  <c r="N427" i="1" s="1"/>
  <c r="N71" i="1" a="1"/>
  <c r="N71" i="1" s="1"/>
  <c r="N180" i="1" a="1"/>
  <c r="N180" i="1" s="1"/>
  <c r="N179" i="1" a="1"/>
  <c r="N179" i="1" s="1"/>
  <c r="N426" i="1" a="1"/>
  <c r="N426" i="1" s="1"/>
  <c r="N425" i="1" a="1"/>
  <c r="N425" i="1" s="1"/>
  <c r="N263" i="1" a="1"/>
  <c r="N263" i="1" s="1"/>
  <c r="N70" i="1" a="1"/>
  <c r="N70" i="1" s="1"/>
  <c r="N69" i="1" a="1"/>
  <c r="N69" i="1" s="1"/>
  <c r="N262" i="1" a="1"/>
  <c r="N262" i="1" s="1"/>
  <c r="N113" i="1" a="1"/>
  <c r="N113" i="1" s="1"/>
  <c r="N307" i="1" a="1"/>
  <c r="N307" i="1" s="1"/>
  <c r="N68" i="1" a="1"/>
  <c r="N68" i="1" s="1"/>
  <c r="N67" i="1" a="1"/>
  <c r="N67" i="1" s="1"/>
  <c r="N112" i="1" a="1"/>
  <c r="N112" i="1" s="1"/>
  <c r="N178" i="1" a="1"/>
  <c r="N178" i="1" s="1"/>
  <c r="N177" i="1" a="1"/>
  <c r="N177" i="1" s="1"/>
  <c r="N111" i="1" a="1"/>
  <c r="N111" i="1" s="1"/>
  <c r="N424" i="1" a="1"/>
  <c r="N424" i="1" s="1"/>
  <c r="N423" i="1" a="1"/>
  <c r="N423" i="1" s="1"/>
  <c r="N176" i="1" a="1"/>
  <c r="N176" i="1" s="1"/>
  <c r="N422" i="1" a="1"/>
  <c r="N422" i="1" s="1"/>
  <c r="N421" i="1" a="1"/>
  <c r="N421" i="1" s="1"/>
  <c r="N420" i="1" a="1"/>
  <c r="N420" i="1" s="1"/>
  <c r="N175" i="1" a="1"/>
  <c r="N175" i="1" s="1"/>
  <c r="N66" i="1" a="1"/>
  <c r="N66" i="1" s="1"/>
  <c r="N419" i="1" a="1"/>
  <c r="N419" i="1" s="1"/>
  <c r="N65" i="1" a="1"/>
  <c r="N65" i="1" s="1"/>
  <c r="N64" i="1" a="1"/>
  <c r="N64" i="1" s="1"/>
  <c r="N63" i="1" a="1"/>
  <c r="N63" i="1" s="1"/>
  <c r="N174" i="1" a="1"/>
  <c r="N174" i="1" s="1"/>
  <c r="N62" i="1" a="1"/>
  <c r="N62" i="1" s="1"/>
  <c r="N173" i="1" a="1"/>
  <c r="N173" i="1" s="1"/>
  <c r="N306" i="1" a="1"/>
  <c r="N306" i="1" s="1"/>
  <c r="N418" i="1" a="1"/>
  <c r="N418" i="1" s="1"/>
  <c r="N305" i="1" a="1"/>
  <c r="N305" i="1" s="1"/>
  <c r="N417" i="1" a="1"/>
  <c r="N417" i="1" s="1"/>
  <c r="N61" i="1" a="1"/>
  <c r="N61" i="1" s="1"/>
  <c r="N60" i="1" a="1"/>
  <c r="N60" i="1" s="1"/>
  <c r="N416" i="1" a="1"/>
  <c r="N416" i="1" s="1"/>
  <c r="N415" i="1" a="1"/>
  <c r="N415" i="1" s="1"/>
  <c r="N172" i="1" a="1"/>
  <c r="N172" i="1" s="1"/>
  <c r="N261" i="1" a="1"/>
  <c r="N261" i="1" s="1"/>
  <c r="N414" i="1" a="1"/>
  <c r="N414" i="1" s="1"/>
  <c r="N413" i="1" a="1"/>
  <c r="N413" i="1" s="1"/>
  <c r="N171" i="1" a="1"/>
  <c r="N171" i="1" s="1"/>
  <c r="N170" i="1" a="1"/>
  <c r="N170" i="1" s="1"/>
  <c r="N169" i="1" a="1"/>
  <c r="N169" i="1" s="1"/>
  <c r="N110" i="1" a="1"/>
  <c r="N110" i="1" s="1"/>
  <c r="N109" i="1" a="1"/>
  <c r="N109" i="1" s="1"/>
  <c r="N412" i="1" a="1"/>
  <c r="N412" i="1" s="1"/>
  <c r="N411" i="1" a="1"/>
  <c r="N411" i="1" s="1"/>
  <c r="N410" i="1" a="1"/>
  <c r="N410" i="1" s="1"/>
  <c r="N59" i="1" a="1"/>
  <c r="N59" i="1" s="1"/>
  <c r="N409" i="1" a="1"/>
  <c r="N409" i="1" s="1"/>
  <c r="N408" i="1" a="1"/>
  <c r="N408" i="1" s="1"/>
  <c r="N407" i="1" a="1"/>
  <c r="N407" i="1" s="1"/>
  <c r="N58" i="1" a="1"/>
  <c r="N58" i="1" s="1"/>
  <c r="N168" i="1" a="1"/>
  <c r="N168" i="1" s="1"/>
  <c r="N57" i="1" a="1"/>
  <c r="N57" i="1" s="1"/>
  <c r="N167" i="1" a="1"/>
  <c r="N167" i="1" s="1"/>
  <c r="N406" i="1" a="1"/>
  <c r="N406" i="1" s="1"/>
  <c r="N405" i="1" a="1"/>
  <c r="N405" i="1" s="1"/>
  <c r="N166" i="1" a="1"/>
  <c r="N166" i="1" s="1"/>
  <c r="N404" i="1" a="1"/>
  <c r="N404" i="1" s="1"/>
  <c r="N56" i="1" a="1"/>
  <c r="N56" i="1" s="1"/>
  <c r="N403" i="1" a="1"/>
  <c r="N403" i="1" s="1"/>
  <c r="N12" i="1" a="1"/>
  <c r="N12" i="1" s="1"/>
  <c r="N304" i="1" a="1"/>
  <c r="N304" i="1" s="1"/>
  <c r="N402" i="1" a="1"/>
  <c r="N402" i="1" s="1"/>
  <c r="N165" i="1" a="1"/>
  <c r="N165" i="1" s="1"/>
  <c r="N401" i="1" a="1"/>
  <c r="N401" i="1" s="1"/>
  <c r="N400" i="1" a="1"/>
  <c r="N400" i="1" s="1"/>
  <c r="N399" i="1" a="1"/>
  <c r="N399" i="1" s="1"/>
  <c r="N164" i="1" a="1"/>
  <c r="N164" i="1" s="1"/>
  <c r="N398" i="1" a="1"/>
  <c r="N398" i="1" s="1"/>
  <c r="N397" i="1" a="1"/>
  <c r="N397" i="1" s="1"/>
  <c r="N396" i="1" a="1"/>
  <c r="N396" i="1" s="1"/>
  <c r="N395" i="1" a="1"/>
  <c r="N395" i="1" s="1"/>
  <c r="N394" i="1" a="1"/>
  <c r="N394" i="1" s="1"/>
  <c r="N393" i="1" a="1"/>
  <c r="N393" i="1" s="1"/>
  <c r="N55" i="1" a="1"/>
  <c r="N55" i="1" s="1"/>
  <c r="N392" i="1" a="1"/>
  <c r="N392" i="1" s="1"/>
  <c r="N54" i="1" a="1"/>
  <c r="N54" i="1" s="1"/>
  <c r="N260" i="1" a="1"/>
  <c r="N260" i="1" s="1"/>
  <c r="N391" i="1" a="1"/>
  <c r="N391" i="1" s="1"/>
  <c r="N390" i="1" a="1"/>
  <c r="N390" i="1" s="1"/>
  <c r="N389" i="1" a="1"/>
  <c r="N389" i="1" s="1"/>
  <c r="N388" i="1" a="1"/>
  <c r="N388" i="1" s="1"/>
  <c r="N387" i="1" a="1"/>
  <c r="N387" i="1" s="1"/>
  <c r="N386" i="1" a="1"/>
  <c r="N386" i="1" s="1"/>
  <c r="N163" i="1" a="1"/>
  <c r="N163" i="1" s="1"/>
  <c r="N385" i="1" a="1"/>
  <c r="N385" i="1" s="1"/>
  <c r="N384" i="1" a="1"/>
  <c r="N384" i="1" s="1"/>
  <c r="N383" i="1" a="1"/>
  <c r="N383" i="1" s="1"/>
  <c r="N382" i="1" a="1"/>
  <c r="N382" i="1" s="1"/>
  <c r="N381" i="1" a="1"/>
  <c r="N381" i="1" s="1"/>
  <c r="N380" i="1" a="1"/>
  <c r="N380" i="1" s="1"/>
  <c r="N379" i="1" a="1"/>
  <c r="N379" i="1" s="1"/>
  <c r="N378" i="1" a="1"/>
  <c r="N378" i="1" s="1"/>
  <c r="N53" i="1" a="1"/>
  <c r="N53" i="1" s="1"/>
  <c r="N52" i="1" a="1"/>
  <c r="N52" i="1" s="1"/>
  <c r="N11" i="1" a="1"/>
  <c r="N11" i="1" s="1"/>
  <c r="N51" i="1" a="1"/>
  <c r="N51" i="1" s="1"/>
  <c r="N108" i="1" a="1"/>
  <c r="N108" i="1" s="1"/>
  <c r="N377" i="1" a="1"/>
  <c r="N377" i="1" s="1"/>
  <c r="N376" i="1" a="1"/>
  <c r="N376" i="1" s="1"/>
  <c r="N375" i="1" a="1"/>
  <c r="N375" i="1" s="1"/>
  <c r="N303" i="1" a="1"/>
  <c r="N303" i="1" s="1"/>
  <c r="N10" i="1" a="1"/>
  <c r="N10" i="1" s="1"/>
  <c r="N374" i="1" a="1"/>
  <c r="N374" i="1" s="1"/>
  <c r="N373" i="1" a="1"/>
  <c r="N373" i="1" s="1"/>
  <c r="N302" i="1" a="1"/>
  <c r="N302" i="1" s="1"/>
  <c r="N372" i="1" a="1"/>
  <c r="N372" i="1" s="1"/>
  <c r="N301" i="1" a="1"/>
  <c r="N301" i="1" s="1"/>
  <c r="N50" i="1" a="1"/>
  <c r="N50" i="1" s="1"/>
  <c r="N9" i="1" a="1"/>
  <c r="N9" i="1" s="1"/>
  <c r="N49" i="1" a="1"/>
  <c r="N49" i="1" s="1"/>
  <c r="N371" i="1" a="1"/>
  <c r="N371" i="1" s="1"/>
  <c r="N162" i="1" a="1"/>
  <c r="N162" i="1" s="1"/>
  <c r="N370" i="1" a="1"/>
  <c r="N370" i="1" s="1"/>
  <c r="N369" i="1" a="1"/>
  <c r="N369" i="1" s="1"/>
  <c r="N368" i="1" a="1"/>
  <c r="N368" i="1" s="1"/>
  <c r="N107" i="1" a="1"/>
  <c r="N107" i="1" s="1"/>
  <c r="N106" i="1" a="1"/>
  <c r="N106" i="1" s="1"/>
  <c r="N105" i="1" a="1"/>
  <c r="N105" i="1" s="1"/>
  <c r="N367" i="1" a="1"/>
  <c r="N367" i="1" s="1"/>
  <c r="N366" i="1" a="1"/>
  <c r="N366" i="1" s="1"/>
  <c r="N104" i="1" a="1"/>
  <c r="N104" i="1" s="1"/>
  <c r="N365" i="1" a="1"/>
  <c r="N365" i="1" s="1"/>
  <c r="N364" i="1" a="1"/>
  <c r="N364" i="1" s="1"/>
  <c r="N363" i="1" a="1"/>
  <c r="N363" i="1" s="1"/>
  <c r="N8" i="1" a="1"/>
  <c r="N8" i="1" s="1"/>
  <c r="N161" i="1" a="1"/>
  <c r="N161" i="1" s="1"/>
  <c r="N160" i="1" a="1"/>
  <c r="N160" i="1" s="1"/>
  <c r="N159" i="1" a="1"/>
  <c r="N159" i="1" s="1"/>
  <c r="N7" i="1" a="1"/>
  <c r="N7" i="1" s="1"/>
  <c r="N103" i="1" a="1"/>
  <c r="N103" i="1" s="1"/>
  <c r="N158" i="1" a="1"/>
  <c r="N158" i="1" s="1"/>
  <c r="N362" i="1" a="1"/>
  <c r="N362" i="1" s="1"/>
  <c r="N157" i="1" a="1"/>
  <c r="N157" i="1" s="1"/>
  <c r="N156" i="1" a="1"/>
  <c r="N156" i="1" s="1"/>
  <c r="N259" i="1" a="1"/>
  <c r="N259" i="1" s="1"/>
  <c r="N361" i="1" a="1"/>
  <c r="N361" i="1" s="1"/>
  <c r="N155" i="1" a="1"/>
  <c r="N155" i="1" s="1"/>
  <c r="N360" i="1" a="1"/>
  <c r="N360" i="1" s="1"/>
  <c r="N102" i="1" a="1"/>
  <c r="N102" i="1" s="1"/>
  <c r="N154" i="1" a="1"/>
  <c r="N154" i="1" s="1"/>
  <c r="N153" i="1" a="1"/>
  <c r="N153" i="1" s="1"/>
  <c r="N152" i="1" a="1"/>
  <c r="N152" i="1" s="1"/>
  <c r="N151" i="1" a="1"/>
  <c r="N151" i="1" s="1"/>
  <c r="N150" i="1" a="1"/>
  <c r="N150" i="1" s="1"/>
  <c r="N149" i="1" a="1"/>
  <c r="N149" i="1" s="1"/>
  <c r="N148" i="1" a="1"/>
  <c r="N148" i="1" s="1"/>
  <c r="N147" i="1" a="1"/>
  <c r="N147" i="1" s="1"/>
  <c r="N258" i="1" a="1"/>
  <c r="N258" i="1" s="1"/>
  <c r="N257" i="1" a="1"/>
  <c r="N257" i="1" s="1"/>
  <c r="N146" i="1" a="1"/>
  <c r="N146" i="1" s="1"/>
  <c r="N145" i="1" a="1"/>
  <c r="N145" i="1" s="1"/>
  <c r="N6" i="1" a="1"/>
  <c r="N6" i="1" s="1"/>
  <c r="N48" i="1" a="1"/>
  <c r="N48" i="1" s="1"/>
  <c r="N101" i="1" a="1"/>
  <c r="N101" i="1" s="1"/>
  <c r="N5" i="1" a="1"/>
  <c r="N5" i="1" s="1"/>
  <c r="N144" i="1" a="1"/>
  <c r="N144" i="1" s="1"/>
  <c r="N359" i="1" a="1"/>
  <c r="N359" i="1" s="1"/>
  <c r="N47" i="1" a="1"/>
  <c r="N47" i="1" s="1"/>
  <c r="N300" i="1" a="1"/>
  <c r="N300" i="1" s="1"/>
  <c r="N358" i="1" a="1"/>
  <c r="N358" i="1" s="1"/>
  <c r="N357" i="1" a="1"/>
  <c r="N357" i="1" s="1"/>
  <c r="N143" i="1" a="1"/>
  <c r="N143" i="1" s="1"/>
  <c r="N356" i="1" a="1"/>
  <c r="N356" i="1" s="1"/>
  <c r="N46" i="1" a="1"/>
  <c r="N46" i="1" s="1"/>
  <c r="N355" i="1" a="1"/>
  <c r="N355" i="1" s="1"/>
  <c r="N354" i="1" a="1"/>
  <c r="N354" i="1" s="1"/>
  <c r="N353" i="1" a="1"/>
  <c r="N353" i="1" s="1"/>
  <c r="N45" i="1" a="1"/>
  <c r="N45" i="1" s="1"/>
  <c r="N352" i="1" a="1"/>
  <c r="N352" i="1" s="1"/>
  <c r="N351" i="1" a="1"/>
  <c r="N351" i="1" s="1"/>
  <c r="N350" i="1" a="1"/>
  <c r="N350" i="1" s="1"/>
  <c r="N349" i="1" a="1"/>
  <c r="N349" i="1" s="1"/>
  <c r="N348" i="1" a="1"/>
  <c r="N348" i="1" s="1"/>
  <c r="N142" i="1" a="1"/>
  <c r="N142" i="1" s="1"/>
  <c r="N347" i="1" a="1"/>
  <c r="N347" i="1" s="1"/>
  <c r="N346" i="1" a="1"/>
  <c r="N346" i="1" s="1"/>
  <c r="N345" i="1" a="1"/>
  <c r="N345" i="1" s="1"/>
  <c r="N344" i="1" a="1"/>
  <c r="N344" i="1" s="1"/>
  <c r="N343" i="1" a="1"/>
  <c r="N343" i="1" s="1"/>
  <c r="N100" i="1" a="1"/>
  <c r="N100" i="1" s="1"/>
  <c r="N342" i="1" a="1"/>
  <c r="N342" i="1" s="1"/>
  <c r="N256" i="1" a="1"/>
  <c r="N256" i="1" s="1"/>
  <c r="N341" i="1" a="1"/>
  <c r="N341" i="1" s="1"/>
  <c r="N141" i="1" a="1"/>
  <c r="N141" i="1" s="1"/>
  <c r="N44" i="1" a="1"/>
  <c r="N44" i="1" s="1"/>
  <c r="N340" i="1" a="1"/>
  <c r="N340" i="1" s="1"/>
  <c r="N339" i="1" a="1"/>
  <c r="N339" i="1" s="1"/>
  <c r="N338" i="1" a="1"/>
  <c r="N338" i="1" s="1"/>
  <c r="N140" i="1" a="1"/>
  <c r="N140" i="1" s="1"/>
  <c r="N4" i="1" a="1"/>
  <c r="N4" i="1" s="1"/>
  <c r="N337" i="1" a="1"/>
  <c r="N337" i="1" s="1"/>
  <c r="N336" i="1" a="1"/>
  <c r="N336" i="1" s="1"/>
  <c r="N335" i="1" a="1"/>
  <c r="N335" i="1" s="1"/>
  <c r="N334" i="1" a="1"/>
  <c r="N334" i="1" s="1"/>
  <c r="N333" i="1" a="1"/>
  <c r="N333" i="1" s="1"/>
  <c r="N332" i="1" a="1"/>
  <c r="N332" i="1" s="1"/>
  <c r="N139" i="1" a="1"/>
  <c r="N139" i="1" s="1"/>
  <c r="N43" i="1" a="1"/>
  <c r="N43" i="1" s="1"/>
  <c r="N42" i="1" a="1"/>
  <c r="N42" i="1" s="1"/>
  <c r="N41" i="1" a="1"/>
  <c r="N41" i="1" s="1"/>
  <c r="N40" i="1" a="1"/>
  <c r="N40" i="1" s="1"/>
  <c r="N331" i="1" a="1"/>
  <c r="N331" i="1" s="1"/>
  <c r="N299" i="1" a="1"/>
  <c r="N299" i="1" s="1"/>
  <c r="N298" i="1" a="1"/>
  <c r="N298" i="1" s="1"/>
  <c r="N330" i="1" a="1"/>
  <c r="N330" i="1" s="1"/>
  <c r="N329" i="1" a="1"/>
  <c r="N329" i="1" s="1"/>
  <c r="N297" i="1" a="1"/>
  <c r="N297" i="1" s="1"/>
  <c r="N328" i="1" a="1"/>
  <c r="N328" i="1" s="1"/>
  <c r="N99" i="1" a="1"/>
  <c r="N99" i="1" s="1"/>
  <c r="N39" i="1" a="1"/>
  <c r="N39" i="1" s="1"/>
  <c r="N327" i="1" a="1"/>
  <c r="N327" i="1" s="1"/>
  <c r="N326" i="1" a="1"/>
  <c r="N326" i="1" s="1"/>
  <c r="N3" i="1" a="1"/>
  <c r="N3" i="1" s="1"/>
  <c r="N138" i="1" a="1"/>
  <c r="N138" i="1" s="1"/>
  <c r="N325" i="1" a="1"/>
  <c r="N325" i="1" s="1"/>
  <c r="N137" i="1" a="1"/>
  <c r="N137" i="1" s="1"/>
  <c r="N136" i="1" a="1"/>
  <c r="N136" i="1" s="1"/>
  <c r="N135" i="1" a="1"/>
  <c r="N135" i="1" s="1"/>
  <c r="N324" i="1" a="1"/>
  <c r="N324" i="1" s="1"/>
  <c r="N323" i="1" a="1"/>
  <c r="N323" i="1" s="1"/>
  <c r="N322" i="1" a="1"/>
  <c r="N322" i="1" s="1"/>
  <c r="N2" i="1" a="1"/>
  <c r="N2" i="1" s="1"/>
  <c r="N321" i="1" a="1"/>
  <c r="N321" i="1" s="1"/>
  <c r="N38" i="1" a="1"/>
  <c r="N38" i="1" s="1"/>
  <c r="N320" i="1" a="1"/>
  <c r="N320" i="1" s="1"/>
  <c r="N37" i="1" a="1"/>
  <c r="N37" i="1" s="1"/>
  <c r="N319" i="1" a="1"/>
  <c r="N319" i="1" s="1"/>
  <c r="N134" i="1" a="1"/>
  <c r="N134" i="1" s="1"/>
  <c r="N318" i="1" a="1"/>
  <c r="N31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AA19A1-03A2-4F2A-A214-3A0770ACF723}" name="WorksheetConnection_minhs3.RRA OpenAI Workspace - Monthly GPT Report (Dec 31).xlsx!Table1" type="102" refreshedVersion="8" minRefreshableVersion="5">
    <extLst>
      <ext xmlns:x15="http://schemas.microsoft.com/office/spreadsheetml/2010/11/main" uri="{DE250136-89BD-433C-8126-D09CA5730AF9}">
        <x15:connection id="Table1" autoDelete="1">
          <x15:rangePr sourceName="_xlcn.WorksheetConnection_minhs3.RRAOpenAIWorkspaceMonthlyGPTReportDec31.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<sst xmlns="http://schemas.openxmlformats.org/spreadsheetml/2006/main" count="4207" uniqueCount="947">
  <si>
    <t>cadence</t>
  </si>
  <si>
    <t>period_start</t>
  </si>
  <si>
    <t>period_end</t>
  </si>
  <si>
    <t>gpt_name</t>
  </si>
  <si>
    <t>config_type</t>
  </si>
  <si>
    <t>gpt_description</t>
  </si>
  <si>
    <t>is_active</t>
  </si>
  <si>
    <t>first_day_active_in_period</t>
  </si>
  <si>
    <t>last_day_active_in_period</t>
  </si>
  <si>
    <t>messages_workspace</t>
  </si>
  <si>
    <t>unique_messagers_workspace</t>
  </si>
  <si>
    <t>gpt_creator_email</t>
  </si>
  <si>
    <t>Exclude</t>
  </si>
  <si>
    <t>Theme2</t>
  </si>
  <si>
    <t>similarity_group</t>
  </si>
  <si>
    <t>Monthly</t>
  </si>
  <si>
    <t>RRA Infra</t>
  </si>
  <si>
    <t>live</t>
  </si>
  <si>
    <t>abilash.sivakumar@russellreynolds.com</t>
  </si>
  <si>
    <t>Keep</t>
  </si>
  <si>
    <t>Uncategorized/Other</t>
  </si>
  <si>
    <t>Hyperstack Engineer</t>
  </si>
  <si>
    <t>A platform engineer for IaC, DevOps, automation, and builds.</t>
  </si>
  <si>
    <t>Notes, Analysis &amp; General Ops</t>
  </si>
  <si>
    <t>draft</t>
  </si>
  <si>
    <t>aditi.banerjee@russellreynolds.com</t>
  </si>
  <si>
    <t>Leadership Assessment Partner</t>
  </si>
  <si>
    <t>Interprets assessment data and builds structured, executive-ready leadership insights.</t>
  </si>
  <si>
    <t>aidan.pelino@russellreynolds.com</t>
  </si>
  <si>
    <t>Executive Reporting &amp; Assessment</t>
  </si>
  <si>
    <t>aimee.williamson@russellreynolds.com</t>
  </si>
  <si>
    <t>360 Feedback Analyst</t>
  </si>
  <si>
    <t>Analyzes 360Â° feedback files and produces evidence-based Strengths and Development Areas tables with full verbatim quotes.</t>
  </si>
  <si>
    <t>ajeet.mishra@russellreynolds.com</t>
  </si>
  <si>
    <t>Search Strategy</t>
  </si>
  <si>
    <t>Creador de estrategias de bÃºsqueda de empresas para proyectos de research y executive search.</t>
  </si>
  <si>
    <t>alejandro.ortiz@russellreynolds.com</t>
  </si>
  <si>
    <t>Business Comms &amp; Search Strategy</t>
  </si>
  <si>
    <t>Amazonia Special Project</t>
  </si>
  <si>
    <t>Answer Emails</t>
  </si>
  <si>
    <t>Speech's &amp; SO Email</t>
  </si>
  <si>
    <t>PNB's</t>
  </si>
  <si>
    <t>Crea slides claras y estratÃ©gicas que explican la comprensiÃ³n de una situaciÃ³n.</t>
  </si>
  <si>
    <t>SM Resume</t>
  </si>
  <si>
    <t>Crea resÃºmenes profesionales a partir de notas y enlaces de LinkedIn.</t>
  </si>
  <si>
    <t>Balkan Mom GPT</t>
  </si>
  <si>
    <t>A blunt, no-nonsence reviewer of feedback that can be used to coach consultants on selling work</t>
  </si>
  <si>
    <t>aleks.trpkovska@russellreynolds.com</t>
  </si>
  <si>
    <t>alessandro.melloni@russellreynolds.com</t>
  </si>
  <si>
    <t>Cred Slide Decoder</t>
  </si>
  <si>
    <t>Counts logos, extracts credentials, flags unidentified positions, outputs sorted table and CSV.</t>
  </si>
  <si>
    <t>IdioMatic</t>
  </si>
  <si>
    <t>Polishes any sentence or text, providing 3 versions in idiomatic business English.</t>
  </si>
  <si>
    <t>alex.boyd@russellreynolds.com</t>
  </si>
  <si>
    <t>AB Candidate Report Writer</t>
  </si>
  <si>
    <t>A GPT to automate the initial draft of candidate reports using my writing style and format.</t>
  </si>
  <si>
    <t>Industry Trends Agent</t>
  </si>
  <si>
    <t>Create a â€œTrends Redefining [Industry] and Talent Implicationsâ€ slide that connects macro forces reshaping the business to leadership and talent requirements specific to the client company. The goal is to translate external industry shifts into internal leadership imperatives.</t>
  </si>
  <si>
    <t>alex.madronal@russellreynolds.com</t>
  </si>
  <si>
    <t>Leadership &amp; Talent Strategy</t>
  </si>
  <si>
    <t>alex.rangel@russellreynolds.com</t>
  </si>
  <si>
    <t>Candidate comments (150 words)</t>
  </si>
  <si>
    <t>Creates concise, client-ready executive summaries from public sources.</t>
  </si>
  <si>
    <t>alexander.prokot@russellreynolds.com</t>
  </si>
  <si>
    <t>Summarization &amp; Profiling</t>
  </si>
  <si>
    <t>alexandra.boland@russellreynolds.com</t>
  </si>
  <si>
    <t>Position spec writer</t>
  </si>
  <si>
    <t>Drafts clear, professional Position Specification content for executive search.</t>
  </si>
  <si>
    <t>Candidate Career Bullet Points</t>
  </si>
  <si>
    <t>Creates a summary of candidate career history</t>
  </si>
  <si>
    <t>allie.miller@russellreynolds.com</t>
  </si>
  <si>
    <t>alyce.ellis@russellreynolds.com</t>
  </si>
  <si>
    <t>SM Assistant</t>
  </si>
  <si>
    <t>Creates  tables summarising candidates' company experience</t>
  </si>
  <si>
    <t>amanda.ingall@russellreynolds.com</t>
  </si>
  <si>
    <t>Meeting Transcription Converter</t>
  </si>
  <si>
    <t>Convert transcriptions to structured notes</t>
  </si>
  <si>
    <t>Reference Report Builder</t>
  </si>
  <si>
    <t>Creates structured, verbatim-style executive reference reports.</t>
  </si>
  <si>
    <t>Candidate Report Writer</t>
  </si>
  <si>
    <t>Writes structured, objective candidate reports based on CVs and interviews for senior executive search.</t>
  </si>
  <si>
    <t>Australian version</t>
  </si>
  <si>
    <t>SM Scaling and Prep</t>
  </si>
  <si>
    <t>amay.kothari@russellreynolds.com</t>
  </si>
  <si>
    <t>amy.hayes@russellreynolds.com</t>
  </si>
  <si>
    <t>Prompt Coach</t>
  </si>
  <si>
    <t>Welcome to RRA ChatGPT Pro!  Work with the Prompt Coach to build prompt engineering skill and confidence through short, role-specific exercises. Dive in, stay curious, and discover what you and ChatGPT Pro can do together!</t>
  </si>
  <si>
    <t>amy.miller@russellreynolds.com</t>
  </si>
  <si>
    <t>Test</t>
  </si>
  <si>
    <t>Compares master roster with Zoom exports to mark session attendance.</t>
  </si>
  <si>
    <t>Quick Guide Writer</t>
  </si>
  <si>
    <t>Creates concise, casual quick guides for software adoption</t>
  </si>
  <si>
    <t>Another Test Coach with Study Mode Instructions</t>
  </si>
  <si>
    <t>RRA Brand Voice GPT</t>
  </si>
  <si>
    <t>Easily check if your article, slides (PDF), whitepaper or internal documents complies with the RRA style guide. Simply attach the draft or copy/paste the text into the GPT. Use these Quick Start chats below to get started.</t>
  </si>
  <si>
    <t>amy.scissons@russellreynolds.com</t>
  </si>
  <si>
    <t>Quality Control &amp; Prompting</t>
  </si>
  <si>
    <t>andrew.turner@russellreynolds.com</t>
  </si>
  <si>
    <t>Assessment Bot</t>
  </si>
  <si>
    <t>Helps write assessment report content</t>
  </si>
  <si>
    <t>andrew.wood@russellreynolds.com</t>
  </si>
  <si>
    <t>test</t>
  </si>
  <si>
    <t>angela.wong@russellreynolds.com</t>
  </si>
  <si>
    <t>angelina.riet@russellreynolds.com</t>
  </si>
  <si>
    <t>ã€æ—¥æœ¬èªžã€‘ãƒã‚§ãƒƒã‚¯</t>
  </si>
  <si>
    <t>Polishes Japanese communication for tone, fluency, and clarity.</t>
  </si>
  <si>
    <t>anika.nagahiro@russellreynolds.com</t>
  </si>
  <si>
    <t>ã€è‹±èªžã€‘ãƒã‚§ãƒƒã‚¯</t>
  </si>
  <si>
    <t>anna.andrews@russellreynolds.com</t>
  </si>
  <si>
    <t>anna.sun@russellreynolds.com</t>
  </si>
  <si>
    <t>PE Highlights</t>
  </si>
  <si>
    <t>annabelle.williams@russellreynolds.com</t>
  </si>
  <si>
    <t>antonella.meschiari@russellreynolds.com</t>
  </si>
  <si>
    <t>Reference Report Assistant</t>
  </si>
  <si>
    <t>Produces formal reference reports aligned with RRA reporting standards.</t>
  </si>
  <si>
    <t>arunima.poricha@russellreynolds.com</t>
  </si>
  <si>
    <t>ashima.jain@russellreynolds.com</t>
  </si>
  <si>
    <t>ashish.pithawala@russellreynolds.com</t>
  </si>
  <si>
    <t>Cleans and polishes reference-call notes into client-ready RRA documents.</t>
  </si>
  <si>
    <t>ashley.alvarezcalderon@russellreynolds.com</t>
  </si>
  <si>
    <t>ashley.wallace@russellreynolds.com</t>
  </si>
  <si>
    <t>Creds combiner from excel and ppt</t>
  </si>
  <si>
    <t>Extracts companies and roles from Excel, PPT, and screenshots, includes a secondary 'check-on-insight' table for PPT-only items.</t>
  </si>
  <si>
    <t>aumeya.goswami@russellreynolds.com</t>
  </si>
  <si>
    <t>avery.vaughan@russellreynolds.com</t>
  </si>
  <si>
    <t>bartek.zachara@russellreynolds.com</t>
  </si>
  <si>
    <t>Candidate Summary Write-up [TEST 24/11/25]</t>
  </si>
  <si>
    <t>Prepares concise, factual Russell Reynoldsâ€“style candidate summaries for client packs.</t>
  </si>
  <si>
    <t>benjamin.yeo@russellreynolds.com</t>
  </si>
  <si>
    <t>Review Builder</t>
  </si>
  <si>
    <t>Helps leaders craft polished, structured performance reviews using firm-approved prompts.</t>
  </si>
  <si>
    <t>brooke.baker@russellreynolds.com</t>
  </si>
  <si>
    <t>Candidate Letter Generator</t>
  </si>
  <si>
    <t>Interactively create a Candidate Letter from documents, notes and examples</t>
  </si>
  <si>
    <t>bryan.gibson@russellreynolds.com</t>
  </si>
  <si>
    <t>Psychometric Report Generator</t>
  </si>
  <si>
    <t>Generate a set of RRA Psych Only Assessment Slides based on the following files: hogan report, opq report</t>
  </si>
  <si>
    <t>Client Feedback Q&amp;A</t>
  </si>
  <si>
    <t>Get answers to questions about our Client Feedback. Ask by Consultant, Client, Industry, Office, Service Line, and time-period. NOTE: Data is limited by project membership and leadership roles. You can only ask questions over data you have access to.</t>
  </si>
  <si>
    <t>Generates content in the style and format of the uploaded document, preserving structure, sections, and stylistic elements.</t>
  </si>
  <si>
    <t>Psychometric Report Generator - Local Build</t>
  </si>
  <si>
    <t>Assessment Meeting Scheduler</t>
  </si>
  <si>
    <t>Proposes a set of meeting times for Assessments given Consultant and Assessment Targets and a set of constraints.</t>
  </si>
  <si>
    <t>CEO Candidate by Assignment OATH - brygib</t>
  </si>
  <si>
    <t>Get CEO candidates on a specific assignment ID</t>
  </si>
  <si>
    <t>Advanced Prompt Builder</t>
  </si>
  <si>
    <t>Generate effective Custom GPT instructions</t>
  </si>
  <si>
    <t>GPT Instructions Improver</t>
  </si>
  <si>
    <t>Given a set of GPT instructions (prompt) and an issue, explain how it might be solved and suggest new instructions</t>
  </si>
  <si>
    <t>Hello World</t>
  </si>
  <si>
    <t>Gets a greeting from a mcp server</t>
  </si>
  <si>
    <t>Acts as a Search Excellence coach, guiding users on how to execute search according to a set of standards based on provided slides. Offers coaching, answers questions, and provides actionable feedback to help users adhere to best practices.</t>
  </si>
  <si>
    <t>Candidate Letter Generator - DEV</t>
  </si>
  <si>
    <t>CEO Candidate by Assignment (copy)</t>
  </si>
  <si>
    <t>Candidate Letter Generator - Backup 20251120</t>
  </si>
  <si>
    <t>Candidate Letter Generator - test 5.0 regression</t>
  </si>
  <si>
    <t>Candidate Letter Generator V4 - Local</t>
  </si>
  <si>
    <t>Create a CL</t>
  </si>
  <si>
    <t>Client Feedback Q&amp;A - dev data issue</t>
  </si>
  <si>
    <t>Candidate Letter Generator V3</t>
  </si>
  <si>
    <t>Monthly Variance Report</t>
  </si>
  <si>
    <t>Generates a Monthly Variance Analysis Report for Russell Reynolds based on financial data</t>
  </si>
  <si>
    <t>Test Running Python</t>
  </si>
  <si>
    <t>Test out running python code embedded in a GPT</t>
  </si>
  <si>
    <t>Generates a Monthly Variance Analysis Report for CompanyA based on financial data</t>
  </si>
  <si>
    <t>Candidate Letter Generator - Prod connection test</t>
  </si>
  <si>
    <t>training</t>
  </si>
  <si>
    <t>Monthly Variance Report - Amay</t>
  </si>
  <si>
    <t>Generate Monthly Variance Report - created by Amay Kothari</t>
  </si>
  <si>
    <t>Client Feedback Q&amp;A - Prod Connection Test</t>
  </si>
  <si>
    <t>Psychometric Report Generator - test recs</t>
  </si>
  <si>
    <t>Search Excellence Agent - Sabina</t>
  </si>
  <si>
    <t>test apim</t>
  </si>
  <si>
    <t>test connection to apim</t>
  </si>
  <si>
    <t>Search Email</t>
  </si>
  <si>
    <t>Return email from a timeperiod for a person</t>
  </si>
  <si>
    <t>PC - Target Asset Deck Builder</t>
  </si>
  <si>
    <t>RRA-branded deal-prep researcher with PDF download option (UK English, investor-neutral, balanced-depth)</t>
  </si>
  <si>
    <t>cameron.page@russellreynolds.com</t>
  </si>
  <si>
    <t>camila.amieva@russellreynolds.com</t>
  </si>
  <si>
    <t>caris.paynter@russellreynolds.com</t>
  </si>
  <si>
    <t>The Growth Coach</t>
  </si>
  <si>
    <t>A challenging leadership coach helping you grow into a trusted advisor and commercial leader.</t>
  </si>
  <si>
    <t>carlos.oyaga@russellreynolds.com</t>
  </si>
  <si>
    <t>Call Notes Polisher</t>
  </si>
  <si>
    <t>English Translator and professionalizer</t>
  </si>
  <si>
    <t>PE Check</t>
  </si>
  <si>
    <t>A senior PE operating partner lens for leadership and value creation analysis.</t>
  </si>
  <si>
    <t>cat.nadeau@russellreynolds.com</t>
  </si>
  <si>
    <t>Leadership Portrait Report writer</t>
  </si>
  <si>
    <t>Write concise - insightful leadership assessment reports for c-suite leaders. Some are candidates some are in place but these insights will inform big people decisions. we re helping clients understand the DNA of the leader, what makes the leader they are -strengths, risks, development areas.</t>
  </si>
  <si>
    <t>Development Coaching</t>
  </si>
  <si>
    <t>Transforms leadership feedback into clear, empowering, growth oriented insights.</t>
  </si>
  <si>
    <t>catalina.calvet@russellreynolds.com</t>
  </si>
  <si>
    <t>chelsea.glanville@russellreynolds.com</t>
  </si>
  <si>
    <t>chris.chia@russellreynolds.com</t>
  </si>
  <si>
    <t>Candidate Archetype</t>
  </si>
  <si>
    <t>Segment candidate profiles into archetypes that can be used to identify strengths for a given role/job description</t>
  </si>
  <si>
    <t>chris.davis@russellreynolds.com</t>
  </si>
  <si>
    <t>christian.komecki@russellreynolds.com</t>
  </si>
  <si>
    <t>Marketing &amp; Branding Coach</t>
  </si>
  <si>
    <t>Polishes corporate writing to be pithy, strategic, and on-brand with Russell Reynolds style.</t>
  </si>
  <si>
    <t>Weekly Two Things Update</t>
  </si>
  <si>
    <t>Creates finalized Weekly Two Things Updates focused on top business themes from the past 7 days.</t>
  </si>
  <si>
    <t>Search Funnel Builder</t>
  </si>
  <si>
    <t>Builds evolving internal search reports with mapped titles, insights, and company segmentation.</t>
  </si>
  <si>
    <t>christine.skovholt@russellreynolds.com</t>
  </si>
  <si>
    <t>News Builder</t>
  </si>
  <si>
    <t>Formats pasted news into clean, precise summaries in plain text with lines between entries.</t>
  </si>
  <si>
    <t>Executive CV Summarizer</t>
  </si>
  <si>
    <t>Upload a CV to instantly generate a crisp, 300-word leadership career summary with facts, impact, and narrative flow.</t>
  </si>
  <si>
    <t>christoph.schlegel@russellreynolds.com</t>
  </si>
  <si>
    <t>Psychometric Report Writing</t>
  </si>
  <si>
    <t>claire.wilson@russellreynolds.com</t>
  </si>
  <si>
    <t>Project Coordinator / EA</t>
  </si>
  <si>
    <t>A distinctive-level executive assistant and project coordinator, embodying excellence in firm support.</t>
  </si>
  <si>
    <t>clara.marschall@russellreynolds.com</t>
  </si>
  <si>
    <t>Highlights</t>
  </si>
  <si>
    <t>Creates professional career summaries written in full sentences.</t>
  </si>
  <si>
    <t>clare.snow@russellreynolds.com</t>
  </si>
  <si>
    <t>clement.chatel@russellreynolds.com</t>
  </si>
  <si>
    <t>Fortune 500 GC Insights</t>
  </si>
  <si>
    <t>Analyzes trends and profiles in Fortune 500 legal and governance leadership.</t>
  </si>
  <si>
    <t>cynthia.dow@russellreynolds.com</t>
  </si>
  <si>
    <t>Marshall Goldsmith</t>
  </si>
  <si>
    <t>Your firm but witty Marshall Goldsmithâ€“style coach with structured accountability and creative growth exercises.</t>
  </si>
  <si>
    <t>CAPstone GPT</t>
  </si>
  <si>
    <t>Uses RRA CAPstone models including CCE, Talent Gap, PESTLE, Pyramid, and Outcomeâ€“Intent framing.</t>
  </si>
  <si>
    <t>Search Overview Generator</t>
  </si>
  <si>
    <t>Takes inputs from a range of client materials and interviews and populates a set template to provide a concise, structured overview for the search.</t>
  </si>
  <si>
    <t>damini.arora@russellreynolds.com</t>
  </si>
  <si>
    <t>One-page CL generator</t>
  </si>
  <si>
    <t>creates deeply critical and insightful, crisp candidate reports to support clients with interviewing, evaluating and comparing candidates.</t>
  </si>
  <si>
    <t>Search Briefing GPT</t>
  </si>
  <si>
    <t>Search Briefing Generator</t>
  </si>
  <si>
    <t>CV Analyser</t>
  </si>
  <si>
    <t>daniel.werbnik@russellreynolds.com</t>
  </si>
  <si>
    <t>Spec Writer (ENG)</t>
  </si>
  <si>
    <t>CL Writer BayWa (GER)</t>
  </si>
  <si>
    <t>REF Writer</t>
  </si>
  <si>
    <t>CL Writer - BÃ¶rse</t>
  </si>
  <si>
    <t>CL Writer - Hylane</t>
  </si>
  <si>
    <t>CL Writer  NEW Template</t>
  </si>
  <si>
    <t>Prompt Builder</t>
  </si>
  <si>
    <t>This GPT helps you write effective prompts</t>
  </si>
  <si>
    <t>daniela.andrade@russellreynolds.com</t>
  </si>
  <si>
    <t>RRA Regional Campaign Asset Generator</t>
  </si>
  <si>
    <t>This agent creates executive-ready, multi-channel marketing assets to promote a regionally authored RRA paper or article. It translates a regional campaign brief into sophisticated, insight-led promotional content while maintaining alignment with RRAâ€™s global brand standards.</t>
  </si>
  <si>
    <t>RRA Global-to-Regional Campaign Generator</t>
  </si>
  <si>
    <t>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t>
  </si>
  <si>
    <t>Marketing Campaign Generator</t>
  </si>
  <si>
    <t>danny.santos@russellreynolds.com</t>
  </si>
  <si>
    <t>david.finke@russellreynolds.com</t>
  </si>
  <si>
    <t>david.nicolet@russellreynolds.com</t>
  </si>
  <si>
    <t>david.porter@russellreynolds.com</t>
  </si>
  <si>
    <t>david.seeley@russellreynolds.com</t>
  </si>
  <si>
    <t>Client References</t>
  </si>
  <si>
    <t>Helps create polished client-ready referencing documents.</t>
  </si>
  <si>
    <t>Creative CEO Thought Partner</t>
  </si>
  <si>
    <t>A creative strategic advisor for CEOs on emerging topics and future possibilities.</t>
  </si>
  <si>
    <t>dean.stamoulis@russellreynolds.com</t>
  </si>
  <si>
    <t>Creates a summary of candidate career history (PE)</t>
  </si>
  <si>
    <t>demi.charalab@russellreynolds.com</t>
  </si>
  <si>
    <t>Polished PC Partner</t>
  </si>
  <si>
    <t>Polished yet personable executiveâ€‘search assistant for drafting emails.</t>
  </si>
  <si>
    <t>desiree.alemansour@russellreynolds.com</t>
  </si>
  <si>
    <t>donatella.landotti@russellreynolds.com</t>
  </si>
  <si>
    <t>Stock Loan Memorandum</t>
  </si>
  <si>
    <t>Creates individual stock loan letters for each Managing Director</t>
  </si>
  <si>
    <t>drew.brengel@russellreynolds.com</t>
  </si>
  <si>
    <t>Appraisal Outline</t>
  </si>
  <si>
    <t>Locate and concisely summarize the key components to write my self assessment</t>
  </si>
  <si>
    <t>ebe.bonner@russellreynolds.com</t>
  </si>
  <si>
    <t>ed.lowe@russellreynolds.com</t>
  </si>
  <si>
    <t>SPEC reader</t>
  </si>
  <si>
    <t>It monitors trends in job specs over time</t>
  </si>
  <si>
    <t>Status Call Prep</t>
  </si>
  <si>
    <t>Helps prepare structured talking points and narratives for executive-search client calls, including candidate pros/cons, differentiators, and open questions. Supports role-playing and summarizing updates for confident, business-ready delivery.</t>
  </si>
  <si>
    <t>ed.sweet@russellreynolds.com</t>
  </si>
  <si>
    <t>Nvidia Candidate Letter</t>
  </si>
  <si>
    <t>A precise letter writer for Nvidia candidate recommendations.</t>
  </si>
  <si>
    <t>TEST | Executive reporter</t>
  </si>
  <si>
    <t>To create reports from explanations</t>
  </si>
  <si>
    <t>eduardo.cordoba@russellreynolds.com</t>
  </si>
  <si>
    <t>Media Summarizer ðŸ“‘</t>
  </si>
  <si>
    <t>Lalo's Ghost writer ðŸ‘»</t>
  </si>
  <si>
    <t>MLT Weekly Update</t>
  </si>
  <si>
    <t>Global Leadership Monitor Insights Advisor</t>
  </si>
  <si>
    <t>Produces concise, weighted GLM insights; reports unweighted base sizes only on request.</t>
  </si>
  <si>
    <t>ela.buczynska@russellreynolds.com</t>
  </si>
  <si>
    <t>Leadership Lounge Promotional Content Writer</t>
  </si>
  <si>
    <t>Generates all Leadership Lounge episode promotional content, including nurture emails.</t>
  </si>
  <si>
    <t>emily.heinen@russellreynolds.com</t>
  </si>
  <si>
    <t>SM Trends Advisor</t>
  </si>
  <si>
    <t>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t>
  </si>
  <si>
    <t>Redefiners Promotional Content Writer</t>
  </si>
  <si>
    <t>Input episode title, description, video clip transcripts, and quote card text to receive all promo assets for the episode.</t>
  </si>
  <si>
    <t>Clarke's Executive Voice Copy Creator</t>
  </si>
  <si>
    <t>Writes authentic, story-driven LinkedIn posts in Clarke Murphyâ€™s human, reflective voice.</t>
  </si>
  <si>
    <t>RRA Social Copy Assistant</t>
  </si>
  <si>
    <t>Writes and refines social copy in the Russell Reynolds Associates brand voice.</t>
  </si>
  <si>
    <t>emily.hunt@russellreynolds.com</t>
  </si>
  <si>
    <t>Pascal Manager Performance Review GPT</t>
  </si>
  <si>
    <t>Expert performance review GPT for managers.  Before using this GPT, managers should reference their notes and the documents downloaded from the â€œStakeholder Feedbackâ€ section in the employeeâ€™s YE appraisal.</t>
  </si>
  <si>
    <t>emma.golen@russellreynolds.com</t>
  </si>
  <si>
    <t>Organizes meetings by day, tracks prep tasks, adds reminders.</t>
  </si>
  <si>
    <t>eric.chang@russellreynolds.com</t>
  </si>
  <si>
    <t>BioMarin Candidate Letter GPT</t>
  </si>
  <si>
    <t>Generates structured, factual candidate letters in RRA format with tone matching the Anuj Gaggar template.</t>
  </si>
  <si>
    <t>eric.wimpfheimer@russellreynolds.com</t>
  </si>
  <si>
    <t>Kyverna Candidate Letter GPT</t>
  </si>
  <si>
    <t>Generates structured, factual candidate letters in RRA format with tone matching the Mayo Pujols template.</t>
  </si>
  <si>
    <t>florencia.schindler@russellreynolds.com</t>
  </si>
  <si>
    <t>Interview Notes Polisher</t>
  </si>
  <si>
    <t>Cleans, formats, and refines executive search and interview notes for professional output.</t>
  </si>
  <si>
    <t>francesca.descher@russellreynolds.com</t>
  </si>
  <si>
    <t>Creates polished executive career summaries in a structured P&amp;L-based format.</t>
  </si>
  <si>
    <t>Company Insight Formatter</t>
  </si>
  <si>
    <t>Generates concise, verified company descriptions with key stats in a consistent, report-ready format.</t>
  </si>
  <si>
    <t>Candidate Letter</t>
  </si>
  <si>
    <t>Creates a CL based on notes + CV</t>
  </si>
  <si>
    <t>francois.geenen@russellreynolds.com</t>
  </si>
  <si>
    <t>Write Reference</t>
  </si>
  <si>
    <t>For all references</t>
  </si>
  <si>
    <t>Airbus Assessment Report Writer</t>
  </si>
  <si>
    <t>Produces Airbus-style executive assessment reports highlighting functional and technical expertise.</t>
  </si>
  <si>
    <t>gabriel.czembor@russellreynolds.com</t>
  </si>
  <si>
    <t>Position Specification Writer</t>
  </si>
  <si>
    <t>Writes compelling executive position specifications</t>
  </si>
  <si>
    <t>CL creator - Zeppelin</t>
  </si>
  <si>
    <t>Writes executive-style candidate letters following a structured three-part evaluation framework.</t>
  </si>
  <si>
    <t>Hensoldt Assessments</t>
  </si>
  <si>
    <t>Produces rigorous, executive-level Experience Analysis, Key Achievements, and Functional Summary sections for Hensoldt assessment reports.</t>
  </si>
  <si>
    <t>OneNote GPT_v1</t>
  </si>
  <si>
    <t>OneNote Connector</t>
  </si>
  <si>
    <t>gagan.saini@russellreynolds.com</t>
  </si>
  <si>
    <t>Company_Agent_Elastic_v1</t>
  </si>
  <si>
    <t>This GPT is to create smartpack for a Company. These smartpack contains information about the company, its executives, RRA activity on ASN, PNB and BD, latest news, Stock analysis, SWOT Analysis</t>
  </si>
  <si>
    <t>ganesh.chandrasekaran@russellreynolds.com</t>
  </si>
  <si>
    <t>Nathaniel (Nate for short)</t>
  </si>
  <si>
    <t>Email marketer</t>
  </si>
  <si>
    <t>gemma.fell@russellreynolds.com</t>
  </si>
  <si>
    <t>Petula</t>
  </si>
  <si>
    <t>Podcast Script Writer Agent</t>
  </si>
  <si>
    <t>Christina</t>
  </si>
  <si>
    <t>Global CEO Turnover Index Report Writer</t>
  </si>
  <si>
    <t>Candice</t>
  </si>
  <si>
    <t>Candidate Content Agent</t>
  </si>
  <si>
    <t>Leadership News Lens</t>
  </si>
  <si>
    <t>Creates timely, news-aligned thought leadership for advisors.</t>
  </si>
  <si>
    <t>Analyzes and writes global executive turnover insights for leadership reports.</t>
  </si>
  <si>
    <t>Redefiners &amp; Leadership Lounge Assistant</t>
  </si>
  <si>
    <t>Podcast assistant for Redefiners &amp; Leadership Loungeâ€”scripts, summaries, notes, and episode assets</t>
  </si>
  <si>
    <t>Leadership Advice Content Strategist</t>
  </si>
  <si>
    <t>Expert content marketer crafting leadership development articles for executives.</t>
  </si>
  <si>
    <t>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t>
  </si>
  <si>
    <t>Family Enterprise Advisory Content Partner</t>
  </si>
  <si>
    <t>Creates polished campaign assets for family enterprise advisory work.</t>
  </si>
  <si>
    <t>Product Storysmith</t>
  </si>
  <si>
    <t>Generates and prioritizes RRA-style user stories with annotated mockups based on feedback, problems, or media.</t>
  </si>
  <si>
    <t>gerald.asante@russellreynolds.com</t>
  </si>
  <si>
    <t>OneNote GPT</t>
  </si>
  <si>
    <t>Browse, search, and summarize your OneNote notebooks in read-only mode.  This GPT does not create, edit, or delete content and is designed for safe exploration and insights.</t>
  </si>
  <si>
    <t>gowtham.kanchi@russellreynolds.com</t>
  </si>
  <si>
    <t>grace.yormak@russellreynolds.com</t>
  </si>
  <si>
    <t>HC Coding Classifier</t>
  </si>
  <si>
    <t>Classifies healthcare companies into sub-sectors with concise, factual reasoning.</t>
  </si>
  <si>
    <t>grant.gilchrist@russellreynolds.com</t>
  </si>
  <si>
    <t>Healthcare KM Strategist 2.0</t>
  </si>
  <si>
    <t>Elite strategist who explains and analyzes healthcare companies and industry terms.</t>
  </si>
  <si>
    <t>HealthTech Paper Collab</t>
  </si>
  <si>
    <t>Provides concise, structured feedback and integrates external insights into Grant Gilchristâ€™s HealthTech CEO paper.</t>
  </si>
  <si>
    <t>gretchen.garner@russellreynolds.com</t>
  </si>
  <si>
    <t>guillaume.morisset@russellreynolds.com</t>
  </si>
  <si>
    <t>gulzar.elavia@russellreynolds.com</t>
  </si>
  <si>
    <t>hannah.brazier@russellreynolds.com</t>
  </si>
  <si>
    <t>Company-SP-UserPreference</t>
  </si>
  <si>
    <t>This GPT can help RRA teams to create a Company smart-pack.</t>
  </si>
  <si>
    <t>hanuveer.nahar@russellreynolds.com</t>
  </si>
  <si>
    <t>Person-SP-UserPreference</t>
  </si>
  <si>
    <t>This GPT can generate comprehensive smart pack document which will include RRA history, connections and relationships with this person and its company</t>
  </si>
  <si>
    <t>HN-V7-SDK-Person-Smart-Pack-GPT</t>
  </si>
  <si>
    <t>HN Person-Smart-Pack-GPT_inprogress (copy)</t>
  </si>
  <si>
    <t>HN-V4-SDK-Person-Smart-Pack-GPT</t>
  </si>
  <si>
    <t>HN-V4-SDK-Person-Smart-Pack-GPT (copy)</t>
  </si>
  <si>
    <t>HN Final Person-Smart-Pack-GPT_inprogress</t>
  </si>
  <si>
    <t>HN-V2-SDK-Person-Smart-Pack-GPT</t>
  </si>
  <si>
    <t>HN-V5-SDK-Person-Smart-Pack-GPT</t>
  </si>
  <si>
    <t>Company-Smart-Pack-GPT_qa (copy)</t>
  </si>
  <si>
    <t>Person-Smart-Pack-GPT_inprogress (copy)</t>
  </si>
  <si>
    <t>HN-V3-SDK-Person-Smart-Pack-GPT</t>
  </si>
  <si>
    <t>HN-V8-SDK-Person-Smart-Pack-GPT</t>
  </si>
  <si>
    <t>HN-SDK-Person-Smart-Pack-GPT</t>
  </si>
  <si>
    <t>Company-Smart-Pack-GPT_inprogress (copy)</t>
  </si>
  <si>
    <t>PE Investor Tearsheet</t>
  </si>
  <si>
    <t>harpreet.khurana@russellreynolds.com</t>
  </si>
  <si>
    <t>Profile Matcher</t>
  </si>
  <si>
    <t>Converts transcripts into concise internal meeting notes.</t>
  </si>
  <si>
    <t>heather.blonkenfeld@russellreynolds.com</t>
  </si>
  <si>
    <t>Transcript Intelligence Assistant (TIA)</t>
  </si>
  <si>
    <t>A tool that processes transcripts by cleaning, theming, analyzing nuance, extracting insights, and preparing outputs for different audiences.</t>
  </si>
  <si>
    <t>Executive Versatility Analysis</t>
  </si>
  <si>
    <t>For generating Growth Factors + Potential Realization bullets in RRA slide-ready style</t>
  </si>
  <si>
    <t>Leadership Spanâ„¢ Slide Builder</t>
  </si>
  <si>
    <t>helen.metcalfe@russellreynolds.com</t>
  </si>
  <si>
    <t>hillary.fazekas@russellreynolds.com</t>
  </si>
  <si>
    <t>hiren.vora@russellreynolds.com</t>
  </si>
  <si>
    <t>SM Private Equity</t>
  </si>
  <si>
    <t>ines.martinezfresneda@russellreynolds.com</t>
  </si>
  <si>
    <t>Screen Call Notes Consolidator</t>
  </si>
  <si>
    <t>Cleans up and Organizes Prospect Screen Call Notes</t>
  </si>
  <si>
    <t>izzat.jaradat@russellreynolds.com</t>
  </si>
  <si>
    <t>Highlights (3 Bullet Point)</t>
  </si>
  <si>
    <t>GPT helps synthesize candidate experiences into highlights for status updates.</t>
  </si>
  <si>
    <t>janice.wong@russellreynolds.com</t>
  </si>
  <si>
    <t>Writes rigorous, evidence-based executive assessment reports using RRA frameworks.</t>
  </si>
  <si>
    <t>jason.friedman@russellreynolds.com</t>
  </si>
  <si>
    <t>jayaramaiah.dwarasila@russellreynolds.com</t>
  </si>
  <si>
    <t>jennifer.fodor@russellreynolds.com</t>
  </si>
  <si>
    <t>jill.spencer@russellreynolds.com</t>
  </si>
  <si>
    <t>jim.mcglone@russellreynolds.com</t>
  </si>
  <si>
    <t>Speaking Note Creator</t>
  </si>
  <si>
    <t>johann.gruemmer@russellreynolds.com</t>
  </si>
  <si>
    <t>Candidate Letter Tool</t>
  </si>
  <si>
    <t>Erstellt Candidate Letters im RRA-Stil auf Basis eines Master Samples und spezifischen Contents.</t>
  </si>
  <si>
    <t>Email Polisher</t>
  </si>
  <si>
    <t>Polishes emails into professional business English or German in RRA style.</t>
  </si>
  <si>
    <t>Engage check +PE/VC 1 role</t>
  </si>
  <si>
    <t>Verifies company links and PE/VC backing using concise, factual summaries.</t>
  </si>
  <si>
    <t>Creates polished RRA-style sign-off comments from candidate feedback.</t>
  </si>
  <si>
    <t>Voice Message Generator</t>
  </si>
  <si>
    <t>Formuliert gesprochene Inputs zu fertigen Nachrichten mit passendem Ton, Formatierung und Kontextbezug.</t>
  </si>
  <si>
    <t>Refines and polishes dictated or spoken text in the same language.</t>
  </si>
  <si>
    <t>Study Mode Tutor</t>
  </si>
  <si>
    <t>One-click study mode: structured study plan, active recall and spaced-practice exercises.</t>
  </si>
  <si>
    <t>john.wood@russellreynolds.com</t>
  </si>
  <si>
    <t>jordan.merrill@russellreynolds.com</t>
  </si>
  <si>
    <t>Bios avanzadas + Highlights</t>
  </si>
  <si>
    <t>jorge.fava@russellreynolds.com</t>
  </si>
  <si>
    <t>Bios highlights</t>
  </si>
  <si>
    <t>Executive Summary + arquetipos</t>
  </si>
  <si>
    <t>Appraisals</t>
  </si>
  <si>
    <t>Consultant Finder</t>
  </si>
  <si>
    <t>Consultant Finder aims to make it dramatically easier to locate internal expertise â€” accelerating client teaming, business development, and knowledge sharing.</t>
  </si>
  <si>
    <t>justus.obrien@russellreynolds.com</t>
  </si>
  <si>
    <t>Clio</t>
  </si>
  <si>
    <t>The Historianâ€™s Lens â€” an artificial historian who interprets modern events through the analogies, patterns, and lessons of world history.</t>
  </si>
  <si>
    <t>Poirot</t>
  </si>
  <si>
    <t>Identifies Consultant Expertise in the RRA Ecosystem</t>
  </si>
  <si>
    <t>Falstaff</t>
  </si>
  <si>
    <t>Agent to suggest jokes, anecdotes, and amusing stories to fit a circumstance</t>
  </si>
  <si>
    <t>Reference Summary Assistant</t>
  </si>
  <si>
    <t>Turns recruiter reference notes into polished, client-ready summaries with JC example tone.</t>
  </si>
  <si>
    <t>kara.finnerty@russellreynolds.com</t>
  </si>
  <si>
    <t>karin.tovar@russellreynolds.com</t>
  </si>
  <si>
    <t>PRRA Interview notes</t>
  </si>
  <si>
    <t>Uses transcript to summarize initial interview</t>
  </si>
  <si>
    <t>katarina.knight@russellreynolds.com</t>
  </si>
  <si>
    <t>Appraisal Builder - Research</t>
  </si>
  <si>
    <t>Compare self appraisals and feedback with WGLL for Research</t>
  </si>
  <si>
    <t>Caliper Analysis</t>
  </si>
  <si>
    <t>YEA - Feedback builder</t>
  </si>
  <si>
    <t>Cross references WGLL with collated feedback</t>
  </si>
  <si>
    <t>Kiki's Morning Report &amp; Evening Reflection</t>
  </si>
  <si>
    <t>Send me my daily schedule, to-do list, business news headlines for the day, a daily affirmation, and a goal</t>
  </si>
  <si>
    <t>kate.schermer@russellreynolds.com</t>
  </si>
  <si>
    <t>Company Details for SM</t>
  </si>
  <si>
    <t>I give a company name and you answer in the format that I can paste into a document I am building</t>
  </si>
  <si>
    <t>Highlights for SM</t>
  </si>
  <si>
    <t>Write an executive bio of this individual in bullets. Keep it factual/concise.</t>
  </si>
  <si>
    <t>kathy.vuturo@russellreynolds.com</t>
  </si>
  <si>
    <t>Kayâ€™s Email Assistant</t>
  </si>
  <si>
    <t>Default email processing behavior and warmth calibration applied. Automatically detects, analyzes, and rewrites pasted emails with professional warmth, clarity, and directness.</t>
  </si>
  <si>
    <t>kay.adams@russellreynolds.com</t>
  </si>
  <si>
    <t>keesha-ann.murphy@russellreynolds.com</t>
  </si>
  <si>
    <t>WIP AI Proofreader Assistant</t>
  </si>
  <si>
    <t>kelly.smith@russellreynolds.com</t>
  </si>
  <si>
    <t>Social Charge Info collect</t>
  </si>
  <si>
    <t>Social Cost Research</t>
  </si>
  <si>
    <t>SM highlights for NED assignments</t>
  </si>
  <si>
    <t>Creates short professional bio comments for NEDs</t>
  </si>
  <si>
    <t>kirsten.ludlow@russellreynolds.com</t>
  </si>
  <si>
    <t>kristen.scott@russellreynolds.com</t>
  </si>
  <si>
    <t>L&amp;D bot</t>
  </si>
  <si>
    <t>Designs evidence-based, inclusive learning programs for leadership advisory professionals.</t>
  </si>
  <si>
    <t>lauren.krouskoff@russellreynolds.com</t>
  </si>
  <si>
    <t>AI Content Detector</t>
  </si>
  <si>
    <t>Use this GPT to detect if content is AI Generated. Paste in an email, article or communication and the GPT will score the likelihood that it is AI Generated.</t>
  </si>
  <si>
    <t>leah.christianson@russellreynolds.com</t>
  </si>
  <si>
    <t>Company Description generator</t>
  </si>
  <si>
    <t>Short English company summaries with revenue, market cap, and ownership type in USD only.</t>
  </si>
  <si>
    <t>liam.chapman@russellreynolds.com</t>
  </si>
  <si>
    <t>MAP</t>
  </si>
  <si>
    <t>Transforms executive search call notes into clean, Excel-ready structured data lines for tracking contacts.</t>
  </si>
  <si>
    <t>lizzie.michaelson@russellreynolds.com</t>
  </si>
  <si>
    <t>Candidate Letter Writer</t>
  </si>
  <si>
    <t>Creates factual, chronological candidate letters with clear $ figures and interpretive insights.</t>
  </si>
  <si>
    <t>SM Comments</t>
  </si>
  <si>
    <t>Drafts concise, factual 3â€“4 paragraph career highlights using only provided facts.</t>
  </si>
  <si>
    <t>Presentation Design Assistant</t>
  </si>
  <si>
    <t>Help me produce polished and clear powerpoint slides for presentations to business stakeholders and clients</t>
  </si>
  <si>
    <t>lizzy.klumpp@russellreynolds.com</t>
  </si>
  <si>
    <t>Software Dev Lead 2</t>
  </si>
  <si>
    <t>You are a supportive technical lead and coach who helps a non-technical product manager reason through technical decisions, design tradeoffs, and implementation options.</t>
  </si>
  <si>
    <t>Executive Search Spec Writer</t>
  </si>
  <si>
    <t>Creates polished Position Specifications for IT executive searches</t>
  </si>
  <si>
    <t>Test Agent</t>
  </si>
  <si>
    <t>Create a Smart Pack with key details on any individual â€” their background, current role, and our firm's relationship with them. You can ask this GPT to review, enhance, or simplify the content. To get started, simply use a prompt like: â€œCreate a Smart Pack on Marc Benioff."</t>
  </si>
  <si>
    <t>Tech Mentor for PMs</t>
  </si>
  <si>
    <t>Lead Developer Coach</t>
  </si>
  <si>
    <t>You are a Lead Developer and Technical Coach helping a non-technical Product Manager who designs internal tools and business applications at a consulting firm.</t>
  </si>
  <si>
    <t>Position Spec Generator</t>
  </si>
  <si>
    <t>Creates professional leadership Position Specifications for executive search at RRA.</t>
  </si>
  <si>
    <t>Software Development/AI Specialist Advisor</t>
  </si>
  <si>
    <t>Software Development Advisor to help me make decisions, evaluate dev effort/timelines, and learn more about the perspective and process of software development team.</t>
  </si>
  <si>
    <t>(Test) Person Get Smart Pack Agent ðŸ”</t>
  </si>
  <si>
    <t>Create a Person Get Smart Pack to quickly understand key details about an individual â€” including their background, current role, and our firmâ€™s relationship with them. To get started, simply use a prompt like: â€œCreate a Get Smart Pack on Bennett Reading.â€</t>
  </si>
  <si>
    <t>Web Digger Company Infos</t>
  </si>
  <si>
    <t>Dig the web</t>
  </si>
  <si>
    <t>luis.pereirabaptista@russellreynolds.com</t>
  </si>
  <si>
    <t>Profile Digger (Search)</t>
  </si>
  <si>
    <t>Profile Search Ideas (internally and externally)</t>
  </si>
  <si>
    <t>Profile Digger</t>
  </si>
  <si>
    <t>Profile Search Ideas</t>
  </si>
  <si>
    <t>Company Corporate Structure/Hierarchy</t>
  </si>
  <si>
    <t>Corporate Structures</t>
  </si>
  <si>
    <t>CL GPT</t>
  </si>
  <si>
    <t>Creates professional, fact-based Candidate Letters (CLs) for Russell Reynolds Associates.</t>
  </si>
  <si>
    <t>lukas.renk@russellreynolds.com</t>
  </si>
  <si>
    <t>luke.higgins@russellreynolds.com</t>
  </si>
  <si>
    <t>lynn.lee@russellreynolds.com</t>
  </si>
  <si>
    <t>Business Analyst</t>
  </si>
  <si>
    <t>maja.kulic@russellreynolds.com</t>
  </si>
  <si>
    <t>One Pager Notes</t>
  </si>
  <si>
    <t>Notes for candidates one pagers for status reports</t>
  </si>
  <si>
    <t>CL writer</t>
  </si>
  <si>
    <t>Writes candidate reports</t>
  </si>
  <si>
    <t>makiko.murai@russellreynolds.com</t>
  </si>
  <si>
    <t>manisha.kewalramani@russellreynolds.com</t>
  </si>
  <si>
    <t>Role Design Architect</t>
  </si>
  <si>
    <t>Expert in designing roles with clear performance milestones and ideal profiles.</t>
  </si>
  <si>
    <t>marcy.calaway@russellreynolds.com</t>
  </si>
  <si>
    <t>Critical Role Challenge Expert</t>
  </si>
  <si>
    <t>Expert organization designer specializing in clarifying critical role challenges.</t>
  </si>
  <si>
    <t>The Psychometric Stylist</t>
  </si>
  <si>
    <t>A psychometric expert that crafts and refines reports in your preferred tone and style.</t>
  </si>
  <si>
    <t>Executive Assessment Advisor</t>
  </si>
  <si>
    <t>An expert industrial psychologist who helps craft executive assessment reports.</t>
  </si>
  <si>
    <t>margot.mcshane@russellreynolds.com</t>
  </si>
  <si>
    <t>SmartPack Builder for Karalee Close</t>
  </si>
  <si>
    <t>Instantly creates full SmartPack drafts for Karalee Close.</t>
  </si>
  <si>
    <t>margot.schenck@russellreynolds.com</t>
  </si>
  <si>
    <t>Pitch Intro Creator</t>
  </si>
  <si>
    <t>Trusted advisor and storyteller crafting authentic, strategic pitch intros.</t>
  </si>
  <si>
    <t>maria.basler@russellreynolds.com</t>
  </si>
  <si>
    <t>Translations</t>
  </si>
  <si>
    <t>maria.raga@russellreynolds.com</t>
  </si>
  <si>
    <t>mariana.xavier@russellreynolds.com</t>
  </si>
  <si>
    <t>Calendar Scriptsmith</t>
  </si>
  <si>
    <t>marie.est@russellreynolds.com</t>
  </si>
  <si>
    <t>marie-eve.soder@russellreynolds.com</t>
  </si>
  <si>
    <t>RegalRexnord Candidate Letter</t>
  </si>
  <si>
    <t>Writes balanced, tailored Regal Rexnord candidate letters.</t>
  </si>
  <si>
    <t>mark.fastabend@russellreynolds.com</t>
  </si>
  <si>
    <t>easycreds</t>
  </si>
  <si>
    <t>Strictly enforces fuzzy role consistency and a hard max of 30 Top Cred projects, with dynamic tightening and mandatory truncation if exceeded.</t>
  </si>
  <si>
    <t>markus.knopf@russellreynolds.com</t>
  </si>
  <si>
    <t>Gimme Creds</t>
  </si>
  <si>
    <t>Business-savvy research assistant for finding relevant RRA projects.</t>
  </si>
  <si>
    <t>Look4Creds</t>
  </si>
  <si>
    <t>Your intelligent assistant for discovering the most relevant RRA project credentials for your task at hand.</t>
  </si>
  <si>
    <t>megan.moftakhar@russellreynolds.com</t>
  </si>
  <si>
    <t>Basic 150 word summary for SM comments</t>
  </si>
  <si>
    <t>melanie.berry@russellreynolds.com</t>
  </si>
  <si>
    <t>CPP evaluation</t>
  </si>
  <si>
    <t>melanie.polke@russellreynolds.com</t>
  </si>
  <si>
    <t>merrick.chaffer@russellreynolds.com</t>
  </si>
  <si>
    <t>michael.chan@russellreynolds.com</t>
  </si>
  <si>
    <t>michael.egli@russellreynolds.com</t>
  </si>
  <si>
    <t>Company Snapshot for SMs</t>
  </si>
  <si>
    <t>michele.catach@russellreynolds.com</t>
  </si>
  <si>
    <t>HB Report Writer</t>
  </si>
  <si>
    <t>michelle.bandklayder@russellreynolds.com</t>
  </si>
  <si>
    <t>Constantine's YE appraisal writer</t>
  </si>
  <si>
    <t>Write a first draft of Constantine's YE appraisals based on various pieces of input.</t>
  </si>
  <si>
    <t>michelle.lalonde@russellreynolds.com</t>
  </si>
  <si>
    <t>Succession &amp; Governance Advisor</t>
  </si>
  <si>
    <t>You are a succession and governance advisor that provides concise, trusted insights on CEO succession and Board governance-related topics.</t>
  </si>
  <si>
    <t>Executive Meeting Advisor</t>
  </si>
  <si>
    <t>You are an executive briefing assistant that prepares consistent, reliable â€œMeeting Smart Packs". Your purpose is to prepare concise, credible, and well-structured briefings for meetings with senior executives.</t>
  </si>
  <si>
    <t>Industry Trend Advisor</t>
  </si>
  <si>
    <t>You are an industry trend advisor that provides concise, high-impact industry and leadership insights.</t>
  </si>
  <si>
    <t>Michelle YE appraisal writer</t>
  </si>
  <si>
    <t>Industry trend advisor</t>
  </si>
  <si>
    <t>ChatGPT Pro Helper</t>
  </si>
  <si>
    <t>Hello! Ask me any questions you have about ChatGPT Pro and it's capabilities. You can use these Quick Start prompts below to get started.</t>
  </si>
  <si>
    <t>minh.nguyen@russellreynolds.com</t>
  </si>
  <si>
    <t>Meeting Summary Points</t>
  </si>
  <si>
    <t>This GPT reads a meeting summary and extracts the key action points for your team or department</t>
  </si>
  <si>
    <t>Fortune 500 GC Insights 2.0</t>
  </si>
  <si>
    <t>Create Promotional Assets for Events</t>
  </si>
  <si>
    <t>Create promotional email, landing page and LinkedIn post for promotional event</t>
  </si>
  <si>
    <t>RRA Client Insights Support(for Consultants)</t>
  </si>
  <si>
    <t>Allow user to search article on RRA Insights, creates talking points, Linkedin post and email about article</t>
  </si>
  <si>
    <t>AI Policy Advisor 3.0</t>
  </si>
  <si>
    <t>An  assistant to help RRA employees understand the firmâ€™s AI Policy. Ask the GPT how to responsibly use AI tools in daily work. Use these quick start prompts below to help get you started</t>
  </si>
  <si>
    <t>Art Linkedin Email</t>
  </si>
  <si>
    <t>AI Detector 2.1</t>
  </si>
  <si>
    <t>A.YearEndReview-WIP</t>
  </si>
  <si>
    <t>Evaluates FYF progress, metrics, and feedback to craft next-year goals.</t>
  </si>
  <si>
    <t>Winning Business Credit Allocation Assistant</t>
  </si>
  <si>
    <t>deliver deterministic, auditable credit allocation recommendations for winning business, using a rules first approach</t>
  </si>
  <si>
    <t>RRA Policy Advisor2.0</t>
  </si>
  <si>
    <t>An AI assistant that helps RRA employeesHelping RRA employees navigate AI policy with clarity and confidence.</t>
  </si>
  <si>
    <t>Meeting Summary Main Points</t>
  </si>
  <si>
    <t>This GPT reads meeting summary and extracts the key action points for your team or department</t>
  </si>
  <si>
    <t>RRA Client Insights Support v2.0</t>
  </si>
  <si>
    <t>D.Emails RRA style</t>
  </si>
  <si>
    <t>write exec level emails</t>
  </si>
  <si>
    <t>Post Client Meeting Notes</t>
  </si>
  <si>
    <t>Capture CEO notes, follow up actions, and email a client after meeting.</t>
  </si>
  <si>
    <t>Davos Support</t>
  </si>
  <si>
    <t>Creates concise, structured Support Briefs for senior executives, modeled on Russell Reynolds Associatesâ€™. This GPT generates professional, fact-based summaries ready for pre-meeting briefing use.</t>
  </si>
  <si>
    <t>Performance Review.RRA</t>
  </si>
  <si>
    <t>write a reviews based on your writing style and tone</t>
  </si>
  <si>
    <t>misha.martinez@russellreynolds.com</t>
  </si>
  <si>
    <t>Guides users to design a custom GPT step by step.</t>
  </si>
  <si>
    <t>morgan.dyson@russellreynolds.com</t>
  </si>
  <si>
    <t>Professional Notes Assistant</t>
  </si>
  <si>
    <t>Automatically cleans and elevates raw notes into client-ready documentation.</t>
  </si>
  <si>
    <t>Note Cleaner</t>
  </si>
  <si>
    <t>Cleans raw notes into clear, professional documents.</t>
  </si>
  <si>
    <t>muskan.agrawal@russellreynolds.com</t>
  </si>
  <si>
    <t>nalina.shapiro@russellreynolds.com</t>
  </si>
  <si>
    <t>natalie.leiner@russellreynolds.com</t>
  </si>
  <si>
    <t>natalie.murphy@russellreynolds.com</t>
  </si>
  <si>
    <t>naveen.sebastian@russellreynolds.com</t>
  </si>
  <si>
    <t>google drive test</t>
  </si>
  <si>
    <t>testing the sync</t>
  </si>
  <si>
    <t>neha.baksh@russellreynolds.com</t>
  </si>
  <si>
    <t>Security Operations GPT</t>
  </si>
  <si>
    <t>Cyber Security Assistant</t>
  </si>
  <si>
    <t>Helps with cybersecurity operations, risk assessment, and threat analysis.</t>
  </si>
  <si>
    <t>netila.demneri@russellreynolds.com</t>
  </si>
  <si>
    <t>Run Log Assistant</t>
  </si>
  <si>
    <t>Coach that logs runs to one CSV and shows progress toward a half marathon.</t>
  </si>
  <si>
    <t>nic.blomfield@russellreynolds.com</t>
  </si>
  <si>
    <t>Overnight Brief Briefing</t>
  </si>
  <si>
    <t>Relevant missed information from Outlook and Slack.</t>
  </si>
  <si>
    <t>nicole.mai@russellreynolds.com</t>
  </si>
  <si>
    <t>A&amp;D Case Study Creator</t>
  </si>
  <si>
    <t>Creates cohesive, anonymized case studies and flags unrelated projects.</t>
  </si>
  <si>
    <t>nisa.qosja@russellreynolds.com</t>
  </si>
  <si>
    <t>Leadership Writing Editor</t>
  </si>
  <si>
    <t>palak.naik@russellreynolds.com</t>
  </si>
  <si>
    <t>Leadership Profile Analyst</t>
  </si>
  <si>
    <t>Synthesizes stakeholder interview notes into structured leadership success profiles.</t>
  </si>
  <si>
    <t>Development Coach</t>
  </si>
  <si>
    <t>Helps you craft thoughtful, balanced self and peer performance reviews.</t>
  </si>
  <si>
    <t>Coordinates change leadership projects, tracking deliverables and timelines.</t>
  </si>
  <si>
    <t>An expert in organizational change and leadership development materials.</t>
  </si>
  <si>
    <t>partha.saidapet@russellreynolds.com</t>
  </si>
  <si>
    <t>Manager Performance Review GPT</t>
  </si>
  <si>
    <t>Expert performance review GPT for managers. Before using this GPT, managers should reference their notes and the documents downloaded from the â€œStakeholder Feedbackâ€ section in the employeeâ€™s YE appraisal.</t>
  </si>
  <si>
    <t>pascal.becotte@russellreynolds.com</t>
  </si>
  <si>
    <t>patu.bajaj@russellreynolds.com</t>
  </si>
  <si>
    <t>Leaves E-mail Summarizer</t>
  </si>
  <si>
    <t>This GPT will help to parse e-mail exchanges about leaves, identify relevant information, and create a summary document for data input into Workday</t>
  </si>
  <si>
    <t>paul.deremer@russellreynolds.com</t>
  </si>
  <si>
    <t>Pam's CL creator</t>
  </si>
  <si>
    <t>Creates formal, factual candidate letters with a narrative and verifiable focus.</t>
  </si>
  <si>
    <t>purnima.arora@russellreynolds.com</t>
  </si>
  <si>
    <t>Viju Client Meeting Finder</t>
  </si>
  <si>
    <t>Finds Vijuraj Eranazhathâ€™s in-person client meetings with city tags</t>
  </si>
  <si>
    <t>Candidate Letter Generator Plus</t>
  </si>
  <si>
    <t>Creates compliant, polished candidate emails for recruiting.</t>
  </si>
  <si>
    <t>Pam's Invoice and Collections</t>
  </si>
  <si>
    <t>Drafts invoice and follow-up emails using Pamâ€™s exact phrasing and tone.</t>
  </si>
  <si>
    <t>RRA search coâ€‘pilot that tunes each query with your perâ€‘search inputs.</t>
  </si>
  <si>
    <t>Draft concise, tone-aware emails with subject lines, variants, and follow-ups.</t>
  </si>
  <si>
    <t>Morning Client Brief</t>
  </si>
  <si>
    <t>Delivers daily organization and leadership news briefs for select clients.</t>
  </si>
  <si>
    <t>rachel.vargas@russellreynolds.com</t>
  </si>
  <si>
    <t>rafael.martinezgallardo@russellreynolds.com</t>
  </si>
  <si>
    <t>ravish.roshan@russellreynolds.com</t>
  </si>
  <si>
    <t>rebecca.lyken@russellreynolds.com</t>
  </si>
  <si>
    <t>reiaz.rashied@russellreynolds.com</t>
  </si>
  <si>
    <t>richard.davis@russellreynolds.com</t>
  </si>
  <si>
    <t>Business Analysis Co-Pilot</t>
  </si>
  <si>
    <t>richard.mcglynn@russellreynolds.com</t>
  </si>
  <si>
    <t>Hogan Leadership Analyzer</t>
  </si>
  <si>
    <t>Analyzes Hogan results and produces concise leadership reports in business language.</t>
  </si>
  <si>
    <t>ritchie.castree-croad@russellreynolds.com</t>
  </si>
  <si>
    <t>BHP Exec Edge Data Extraction</t>
  </si>
  <si>
    <t>Use this GPT to get data ready for analysis and report production.</t>
  </si>
  <si>
    <t>CPP Aid</t>
  </si>
  <si>
    <t>Extracts CPP data from reports then writes a summary</t>
  </si>
  <si>
    <t>360 Interview Notes Analyzer</t>
  </si>
  <si>
    <t>Takes uploaded 360 notes and identifies themes</t>
  </si>
  <si>
    <t>funnel assistant</t>
  </si>
  <si>
    <t>Extracts metrics from Excel and updates PowerPoints.</t>
  </si>
  <si>
    <t>riya.ahuja@russellreynolds.com</t>
  </si>
  <si>
    <t>Pro Notes</t>
  </si>
  <si>
    <t>Turns rough client call notes into structured summaries with bullet-style themes and feedback.</t>
  </si>
  <si>
    <t>robert.gallagher@russellreynolds.com</t>
  </si>
  <si>
    <t>Internal Comms Companion</t>
  </si>
  <si>
    <t>Trusted comms advisor focused on strategy and audience engagement.</t>
  </si>
  <si>
    <t>Professional planner for RRA team events.</t>
  </si>
  <si>
    <t>Work Personality Coach</t>
  </si>
  <si>
    <t>Analyzes Outlook and work data to reveal leadership potential and growth paths.</t>
  </si>
  <si>
    <t>robert.macmillan@russellreynolds.com</t>
  </si>
  <si>
    <t>Boilerplate Cleaner â€“ Events/Contacts/Sponsored</t>
  </si>
  <si>
    <t>Cleans newsletters, emails, or text dumps by removing event listings, contact/masthead blocks, and sponsored content. Returns JSON with the cleaned text and a removal audit.</t>
  </si>
  <si>
    <t>Newsletter text cleaning</t>
  </si>
  <si>
    <t>Removes event listings, contact/masthead blocks and sponsored sections from text and returns a strict JSON audit</t>
  </si>
  <si>
    <t>Target Company Researcher</t>
  </si>
  <si>
    <t>Research analyst that builds clear, defensible target company lists.</t>
  </si>
  <si>
    <t>roberta.zeme@russellreynolds.com</t>
  </si>
  <si>
    <t>ron.ongley@russellreynolds.com</t>
  </si>
  <si>
    <t>Executive Brand Builder</t>
  </si>
  <si>
    <t>Creates authentic, flexible LinkedIn posts blending AI, security, and leadership insights.</t>
  </si>
  <si>
    <t>Lucy</t>
  </si>
  <si>
    <t>help me work efficiently and smarter</t>
  </si>
  <si>
    <t>rose.estevez-vidal@russellreynolds.com</t>
  </si>
  <si>
    <t>rowena.valencia@russellreynolds.com</t>
  </si>
  <si>
    <t>Korn Ferry Results vs RRA</t>
  </si>
  <si>
    <t>RRA Prompt Assistant</t>
  </si>
  <si>
    <t>Secure RRA assistant with clear, professional language (no contractions).</t>
  </si>
  <si>
    <t>runa.kitzing@russellreynolds.com</t>
  </si>
  <si>
    <t>ryan.shaw@russellreynolds.com</t>
  </si>
  <si>
    <t>PE SIM Detail</t>
  </si>
  <si>
    <t>sam.smith@russellreynolds.com</t>
  </si>
  <si>
    <t>Interview Notes Transcription</t>
  </si>
  <si>
    <t>This transcribes zoom transcripts of interview notes into my format.</t>
  </si>
  <si>
    <t>Candidate Report Generator</t>
  </si>
  <si>
    <t>sara.schneider@russellreynolds.com</t>
  </si>
  <si>
    <t>Job description</t>
  </si>
  <si>
    <t>sarah.demeulenaer@russellreynolds.com</t>
  </si>
  <si>
    <t>Meeting Notes Assistant</t>
  </si>
  <si>
    <t>Summarize meeting notes with clear succinct bullets with action items, key insights, owners, deadlines, and links.</t>
  </si>
  <si>
    <t>sarah.lermsider@russellreynolds.com</t>
  </si>
  <si>
    <t>AI Task Augmentation Analyst</t>
  </si>
  <si>
    <t>Analyzes job descriptions to assess AI task automation and generate dashboards.</t>
  </si>
  <si>
    <t>Brand House Creator</t>
  </si>
  <si>
    <t>Create Brand Houses aligned to our MarComms Personal Brand training</t>
  </si>
  <si>
    <t>Stationery Invoice Processor</t>
  </si>
  <si>
    <t>Automates the extraction and coding of monthly stationery invoices from Automation Graphics. It reads invoice PDFs, maps each office to its correct budget code, and generates a polished email summary ready to send to Accounts Payable for payment processing.</t>
  </si>
  <si>
    <t>Sarah Lermsider's Self-Appraisal GPT</t>
  </si>
  <si>
    <t>Self-Appraisal GPT helps you craft thoughtful, authentic, and strategic reflections for your yearly performance review. It analyzes your past reviews, achievements, and career goals to generate clear, impactful responses that highlight your growth, contributions, and future priorities.</t>
  </si>
  <si>
    <t>SLT Update GPT</t>
  </si>
  <si>
    <t>SLT Update GPT converts the inconsistent, lengthy MarComms Weekly Summary into a polished SLT Update. The model must rewrite, refine, filter for relevance, and format content exactly as specified.</t>
  </si>
  <si>
    <t>Amy's Agenda Snapshot</t>
  </si>
  <si>
    <t>Review Amy Scissonsâ€™s calendar for the upcoming week and create a polished â€œAgenda Snapshotâ€ email that mirrors the reference sample provided.</t>
  </si>
  <si>
    <t>EA Invoice Assistant</t>
  </si>
  <si>
    <t>An assistant that reads invoices and instantly generates your AP submission email with the correct coding, description, and formatted template.</t>
  </si>
  <si>
    <t>Executive Briefing Agent - EA to CMCO</t>
  </si>
  <si>
    <t>Input: Paste in a Meeting Transcript, Agenda, and Short-Hand Notes  Output: A formatted summary of the meeting with action items, key discussion points, and next steps</t>
  </si>
  <si>
    <t>Redefiners Host Onboarding GPT</t>
  </si>
  <si>
    <t>Streamline the onboarding process for new co-hosts of the Redefiners podcast. This agent will automatically generate three key outputs: welcome email, social media promotion, and Q&amp;A session script.</t>
  </si>
  <si>
    <t>Redefiners Guest Vetting GPT</t>
  </si>
  <si>
    <t>This agent is designed to determine the merits of external guest recommendations for Redefiners Episodes.</t>
  </si>
  <si>
    <t>MarComms Invoice Assistant</t>
  </si>
  <si>
    <t>Self-Awareness GPT</t>
  </si>
  <si>
    <t>A self-awareness and strategy assistant for Sarah Lermsider, designed to analyze work patterns, reinforce RRA standards, and support growth.</t>
  </si>
  <si>
    <t>Consultant LinkedIn Assistant</t>
  </si>
  <si>
    <t>Your LinkedIn writing partner for Russell Reynolds Associates. This GPT helps consultants transform their insights, experiences, and content into authentic, on-brand LinkedIn posts that reflect their unique voice while aligning with the firmâ€™s personal brand principles.</t>
  </si>
  <si>
    <t>Lead Assignment Agent</t>
  </si>
  <si>
    <t>You are a smart lead assignment assistant for a marketing team. Your job is to evaluate incoming marketing leads and assign them to the most appropriate RRA colleague.</t>
  </si>
  <si>
    <t>Meeting Notes Assistant - EA to CMCO</t>
  </si>
  <si>
    <t>sarah.lucasruhland@russellreynolds.com</t>
  </si>
  <si>
    <t>sarmistha.ghosh@russellreynolds.com</t>
  </si>
  <si>
    <t>Guten Morgan</t>
  </si>
  <si>
    <t>Translates text</t>
  </si>
  <si>
    <t>seadeladmin@russellreynolds.com</t>
  </si>
  <si>
    <t>OneNote GPT - qa</t>
  </si>
  <si>
    <t>sean.delessio@russellreynolds.com</t>
  </si>
  <si>
    <t>Generate ChatGPT GPT Analytics Executive Summary</t>
  </si>
  <si>
    <t>Generate ChatGPT User Analytics Executive Summary</t>
  </si>
  <si>
    <t>CEO Candidate by Assignment QA API Key</t>
  </si>
  <si>
    <t>Sharepoint Online Non-MS Graph</t>
  </si>
  <si>
    <t>Sharepoint File Retrieval PreProcessing</t>
  </si>
  <si>
    <t>Get CEO Assignment Targets</t>
  </si>
  <si>
    <t>EDM Company Reader</t>
  </si>
  <si>
    <t>Sharepoint File Retrieval Azure Function</t>
  </si>
  <si>
    <t>Sharepoint Online Query</t>
  </si>
  <si>
    <t>Get information from a Sharepoint Online Site</t>
  </si>
  <si>
    <t>Salesforce DEV009 Test GPT</t>
  </si>
  <si>
    <t>M365 Outlook GPT</t>
  </si>
  <si>
    <t>Manages emails and calendar events in Microsoft Outlook</t>
  </si>
  <si>
    <t>sean.dineen@russellreynolds.com</t>
  </si>
  <si>
    <t>Candidate/Client Assessor</t>
  </si>
  <si>
    <t>Assess a client and/or candidate</t>
  </si>
  <si>
    <t>sean.gooze@russellreynolds.com</t>
  </si>
  <si>
    <t>Person-Finders</t>
  </si>
  <si>
    <t>sharad.awasthi@russellreynolds.com</t>
  </si>
  <si>
    <t>Person-Finders-qa</t>
  </si>
  <si>
    <t>Company-Finders</t>
  </si>
  <si>
    <t>SH-V1-SDK-Company-Smart-Pack-GPT</t>
  </si>
  <si>
    <t>shelby.henry@russellreynolds.com</t>
  </si>
  <si>
    <t>sibylle.lane@russellreynolds.com</t>
  </si>
  <si>
    <t>sophie.gilliatt@russellreynolds.com</t>
  </si>
  <si>
    <t>sophie.vanorden@russellreynolds.com</t>
  </si>
  <si>
    <t>sophie.yiannopoulos@russellreynolds.com</t>
  </si>
  <si>
    <t>RRA New Hire Orientation GPT</t>
  </si>
  <si>
    <t>Friendly assistant guiding new hires through their first 90 days.</t>
  </si>
  <si>
    <t>stacey.mazurek@russellreynolds.com</t>
  </si>
  <si>
    <t>stephanie.tomasso@russellreynolds.com</t>
  </si>
  <si>
    <t>RRA Insight PowerShell Data Tool</t>
  </si>
  <si>
    <t>Builds Salesforceâ€“SQL PowerShell scripts with auth, timestamped logs, and environment-based defaults.</t>
  </si>
  <si>
    <t>stephen.brown@russellreynolds.com</t>
  </si>
  <si>
    <t>Reminder Tracker</t>
  </si>
  <si>
    <t>Gives a daily summary of outstanding tasks on first use each day.</t>
  </si>
  <si>
    <t>Marlo</t>
  </si>
  <si>
    <t>Helps design and define a Marketing Ops AI team member.</t>
  </si>
  <si>
    <t>surbhi.patel@russellreynolds.com</t>
  </si>
  <si>
    <t>single prompts</t>
  </si>
  <si>
    <t>susan.hendel@russellreynolds.com</t>
  </si>
  <si>
    <t>Sophie the Sub-Industry Copywriter</t>
  </si>
  <si>
    <t>A senior-level copywriter creating authoritative, SEO-optimized leadership content.</t>
  </si>
  <si>
    <t>susie.sell@russellreynolds.com</t>
  </si>
  <si>
    <t>Emma the Expertise Copywriter</t>
  </si>
  <si>
    <t>A leadership-focused copywriter crafting SEO-rich, diagnostic web content for senior executives.</t>
  </si>
  <si>
    <t>Cecilia - The Strategic Relationship Coach</t>
  </si>
  <si>
    <t>Strategic and empathetic coach helping Susie strengthen influence, trust, and leadership.</t>
  </si>
  <si>
    <t>Susannah</t>
  </si>
  <si>
    <t>A warm but authoritative content marketing leader and trusted advisor.</t>
  </si>
  <si>
    <t>Brief to Campaign</t>
  </si>
  <si>
    <t>Expert global content marketing manager for executive audiences.</t>
  </si>
  <si>
    <t>Dev the Development Campaign Copywriting</t>
  </si>
  <si>
    <t>A senior B2B copywriter crafting distinctive, advisor-led Insights for CHRO audiences.</t>
  </si>
  <si>
    <t>Tina Turnover</t>
  </si>
  <si>
    <t>Expert data journalist analyzing and explaining CEO turnover trends.</t>
  </si>
  <si>
    <t>Paige Quality</t>
  </si>
  <si>
    <t>Expert content editor that scores and optimizes executive-level digital content for impact and SEO.</t>
  </si>
  <si>
    <t>Sylwia</t>
  </si>
  <si>
    <t>daily</t>
  </si>
  <si>
    <t>sylwia.swaczynska@russellreynolds.com</t>
  </si>
  <si>
    <t>Sylwia's</t>
  </si>
  <si>
    <t>Development chats</t>
  </si>
  <si>
    <t>MI</t>
  </si>
  <si>
    <t>tara.nensi@russellreynolds.com</t>
  </si>
  <si>
    <t>References Clean-up</t>
  </si>
  <si>
    <t>tatiana.palatchi@russellreynolds.com</t>
  </si>
  <si>
    <t>Cleans and polishes reference interview transcripts for executive search work.</t>
  </si>
  <si>
    <t>tatiana.velloso@russellreynolds.com</t>
  </si>
  <si>
    <t>Reindeer Genie</t>
  </si>
  <si>
    <t>Fetch information from a Genie space about Santa's reindeer</t>
  </si>
  <si>
    <t>tavis.barr@russellreynolds.com</t>
  </si>
  <si>
    <t>Ask RRA Take Deux</t>
  </si>
  <si>
    <t>GPT for answering AskRRA questions</t>
  </si>
  <si>
    <t>GPT with Open-Ended Response Analysis</t>
  </si>
  <si>
    <t>This GPT finds topics in open-ended responses</t>
  </si>
  <si>
    <t>Genie Fetcher</t>
  </si>
  <si>
    <t>Hooked up to Genie via Databricks MCP server</t>
  </si>
  <si>
    <t>GPT With AskRRA</t>
  </si>
  <si>
    <t>GPT with AskRRA Question Answering</t>
  </si>
  <si>
    <t>Answers AskRRA questions about personnel policies</t>
  </si>
  <si>
    <t>BoardEx Genie</t>
  </si>
  <si>
    <t>Retrieve information about company leaders from BoardEx</t>
  </si>
  <si>
    <t>tess.namane@russellreynolds.com</t>
  </si>
  <si>
    <t>thor.lange@russellreynolds.com</t>
  </si>
  <si>
    <t>tim.vranckx@russellreynolds.com</t>
  </si>
  <si>
    <t>Tom's EA's</t>
  </si>
  <si>
    <t>Training a GPT to help write Executive Assessment reports, in particular the B&amp;E sections</t>
  </si>
  <si>
    <t>tom.roets@russellreynolds.com</t>
  </si>
  <si>
    <t>Tom's CL's</t>
  </si>
  <si>
    <t>CL's in my personal style</t>
  </si>
  <si>
    <t>Job-Spec criteria extractor</t>
  </si>
  <si>
    <t>Analyzes job specs and outputs keyword tables with insights and search-optimized Boolean lists including importance and assessment data.</t>
  </si>
  <si>
    <t>tomasz.hus@russellreynolds.com</t>
  </si>
  <si>
    <t>valentina.vujeva@russellreynolds.com</t>
  </si>
  <si>
    <t>Drafting EL from Gantt chart</t>
  </si>
  <si>
    <t>The agent will take information from a high-level gantt chart and draft an engagement letter.</t>
  </si>
  <si>
    <t>valerie.fortin@russellreynolds.com</t>
  </si>
  <si>
    <t>Proofreading</t>
  </si>
  <si>
    <t>Building meeting agendas</t>
  </si>
  <si>
    <t>This GPT will scan notes from previous meetings and project plan and take this information to draft meeting agendas.</t>
  </si>
  <si>
    <t>Assessment project status update</t>
  </si>
  <si>
    <t>RRA-style Word reference guide outlining the standard method for assessment tracker analysis.</t>
  </si>
  <si>
    <t>Company Smart Pack GPT</t>
  </si>
  <si>
    <t>Create a Smart Pack with key insights about a company â€” including financial highlights, recent news, and our firmâ€™s relationship with them. You can ask this GPT to review, enhance, or simplify the content. To get started, simply use a prompt like:</t>
  </si>
  <si>
    <t>vijay.yadav@russellreynolds.com</t>
  </si>
  <si>
    <t>Person Smart Pack GPT</t>
  </si>
  <si>
    <t>Create a Smart Pack with key details on an individual person â€” their background, current role, and our firm's relationship with them. You can ask this GPT to review, enhance, or simplify the content. To get started, simply use a prompt like:</t>
  </si>
  <si>
    <t>Person-Smart-Pack-GPT_qa</t>
  </si>
  <si>
    <t>Company-Smart-Pack-GPT_qa</t>
  </si>
  <si>
    <t>Company-Smart-Pack-GPT_inprogress</t>
  </si>
  <si>
    <t>Person-Smart-Pack-GPT_inprogress</t>
  </si>
  <si>
    <t>RRA Enterprise GPT Router</t>
  </si>
  <si>
    <t>Routes User To GPT</t>
  </si>
  <si>
    <t>Company Smart Pack - Quality Tester</t>
  </si>
  <si>
    <t>GPT Tester</t>
  </si>
  <si>
    <t>Json Formatter  GPT</t>
  </si>
  <si>
    <t>Fix JSON formats</t>
  </si>
  <si>
    <t>Elastic Query Helper</t>
  </si>
  <si>
    <t>Project-Smart-Pack-GPT_qa</t>
  </si>
  <si>
    <t>This GPT can Q&amp;A on Assignment/PNB  data</t>
  </si>
  <si>
    <t>Person-Smart-Pack-GPT_qa (copy)</t>
  </si>
  <si>
    <t>Vijay_Company_Agent</t>
  </si>
  <si>
    <t>Project-Smart-Pack-GPT_inprogress</t>
  </si>
  <si>
    <t>Vijay_Test_GPT (copy)</t>
  </si>
  <si>
    <t>Vijay_Core_Entity_Agent_v1</t>
  </si>
  <si>
    <t>vitoria.roque@russellreynolds.com</t>
  </si>
  <si>
    <t>viveka.wiberg@russellreynolds.com</t>
  </si>
  <si>
    <t>RRA TOKYO Wakako's Translator</t>
  </si>
  <si>
    <t>Automatically translates between English and Japanese with three tone variations.</t>
  </si>
  <si>
    <t>wakako.matsuyama@russellreynolds.com</t>
  </si>
  <si>
    <t>Training Video test</t>
  </si>
  <si>
    <t>william.clark@russellreynolds.com</t>
  </si>
  <si>
    <t>Training Attendance Tool</t>
  </si>
  <si>
    <t>FeeShift GPT</t>
  </si>
  <si>
    <t>Upload Excel File for analysis and set date range.</t>
  </si>
  <si>
    <t>william.donahue@russellreynolds.com</t>
  </si>
  <si>
    <t>Global Monthly Variance</t>
  </si>
  <si>
    <t>Upload the latest Global Variance excel and instruct the GPT to "Please run the report"</t>
  </si>
  <si>
    <t>Firm Services Monthly GPT</t>
  </si>
  <si>
    <t>Upload Post Close excel and say "Generate the Firm Services email from the attached workbook and return the final email body"</t>
  </si>
  <si>
    <t>DPIA Drafting Assistant</t>
  </si>
  <si>
    <t>Helps you with the administrative part of the DPIA</t>
  </si>
  <si>
    <t>xander.menger@russellreynolds.com</t>
  </si>
  <si>
    <t>Client Updates Assistant</t>
  </si>
  <si>
    <t>Uses the Client Summary &amp; Outreach Template to deliver adaptive client updates and personalized follow-ups.</t>
  </si>
  <si>
    <t>yenling.shek@russellreynolds.com</t>
  </si>
  <si>
    <t>yoshimi.iwamura@russellreynolds.com</t>
  </si>
  <si>
    <t>EXCLUDES: All Smart Pack GPTs, Candidate Letter Generators, Psychometric Report Generator, Consultant Finder, Candidate Archetype</t>
  </si>
  <si>
    <t>GPT Usage Monthly Report (Excludes Smart Pack + Psychometric + Candidate Letter Generator)</t>
  </si>
  <si>
    <t>Latest month</t>
  </si>
  <si>
    <t>2025-12</t>
  </si>
  <si>
    <t>Data rows (live / all)</t>
  </si>
  <si>
    <t>247 / 603</t>
  </si>
  <si>
    <t>KPIs (live only)</t>
  </si>
  <si>
    <t>KPIs (live + draft)</t>
  </si>
  <si>
    <t>Total messages</t>
  </si>
  <si>
    <t>GPTs with usage</t>
  </si>
  <si>
    <t>Top 5 share of messages</t>
  </si>
  <si>
    <t>Draft messages share</t>
  </si>
  <si>
    <t>Top 10 GPTs by messages (live only, latest month)</t>
  </si>
  <si>
    <t>messages</t>
  </si>
  <si>
    <t>unique_messagers</t>
  </si>
  <si>
    <t>creator_email</t>
  </si>
  <si>
    <t>Column1</t>
  </si>
  <si>
    <t>Row Labels</t>
  </si>
  <si>
    <t>Grand Total</t>
  </si>
  <si>
    <t>Count of gpt_name</t>
  </si>
  <si>
    <t>Sum of messages_workspace</t>
  </si>
  <si>
    <t>Sum of unique_messagers_workspace</t>
  </si>
  <si>
    <t>Duplicate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</si>
</sst>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name val="Calibri"/>
    </font>
    <font>
      <sz val="11"/>
      <color rgb="FF000000"/>
      <name val="Calibri"/>
      <family val="2"/>
    </font>
    <font>
      <b/>
      <sz val="11"/>
      <name val="Calibri"/>
    </font>
    <font>
      <sz val="11"/>
      <color rgb="FF242424"/>
      <name val="Aptos Narrow"/>
      <charset val="1"/>
    </font>
    <font>
      <b/>
      <sz val="11"/>
      <color rgb="FFFFFFFF"/>
      <name val="Calibri"/>
      <family val="2"/>
    </font>
    <font>
      <sz val="8"/>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rgb="FF000000"/>
      </patternFill>
    </fill>
    <fill>
      <patternFill patternType="solid">
        <fgColor theme="0" tint="-4.9989318521683403E-2"/>
        <bgColor indexed="64"/>
      </patternFill>
    </fill>
    <fill>
      <patternFill patternType="solid">
        <fgColor rgb="FFD9E1F2"/>
        <bgColor rgb="FFD9E1F2"/>
      </patternFill>
    </fill>
    <fill>
      <patternFill patternType="solid">
        <fgColor rgb="FF4472C4"/>
        <bgColor rgb="FF4472C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8EA9DB"/>
      </right>
      <top style="thin">
        <color rgb="FF8EA9DB"/>
      </top>
      <bottom style="thin">
        <color rgb="FF44B3E1"/>
      </bottom>
      <diagonal/>
    </border>
    <border>
      <left/>
      <right style="thin">
        <color rgb="FF8EA9DB"/>
      </right>
      <top style="thin">
        <color rgb="FF8EA9DB"/>
      </top>
      <bottom style="thin">
        <color rgb="FF8EA9D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18" fillId="0" borderId="0" xfId="0" applyFont="1"/>
    <xf numFmtId="0" fontId="19" fillId="0" borderId="0" xfId="0" applyFont="1"/>
    <xf numFmtId="0" fontId="20" fillId="0" borderId="0" xfId="0" applyFont="1"/>
    <xf numFmtId="10" fontId="19" fillId="0" borderId="0" xfId="0" applyNumberFormat="1" applyFont="1"/>
    <xf numFmtId="0" fontId="20" fillId="33" borderId="0" xfId="0" applyFont="1" applyFill="1"/>
    <xf numFmtId="0" fontId="0" fillId="34" borderId="0" xfId="0" applyFill="1"/>
    <xf numFmtId="0" fontId="21" fillId="0" borderId="0" xfId="0" applyFont="1"/>
    <xf numFmtId="0" fontId="19" fillId="35" borderId="10" xfId="0" applyFont="1" applyFill="1" applyBorder="1"/>
    <xf numFmtId="0" fontId="19" fillId="0" borderId="10" xfId="0" applyFont="1" applyBorder="1"/>
    <xf numFmtId="0" fontId="19" fillId="0" borderId="11" xfId="0" applyFont="1" applyBorder="1"/>
    <xf numFmtId="0" fontId="22" fillId="36" borderId="0" xfId="0" applyFont="1" applyFill="1"/>
    <xf numFmtId="0" fontId="21" fillId="34" borderId="0" xfId="0" applyFont="1" applyFill="1"/>
    <xf numFmtId="0" fontId="0" fillId="0" borderId="0" xfId="0" pivotButton="1"/>
    <xf numFmtId="0" fontId="0" fillId="0" borderId="0" xfId="0" applyNumberFormat="1"/>
    <xf numFmtId="14" fontId="0" fillId="0" borderId="0" xfId="0" applyNumberFormat="1" applyAlignment="1">
      <alignment horizontal="left"/>
    </xf>
    <xf numFmtId="0" fontId="0" fillId="0" borderId="0" xfId="0" applyAlignment="1">
      <alignment horizontal="left" indent="1"/>
    </xf>
    <xf numFmtId="0" fontId="0" fillId="0" borderId="0" xfId="0" pivotButton="1" applyAlignment="1">
      <alignmen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NumberFormat="1" applyAlignment="1">
      <alignment vertical="top" wrapText="1"/>
    </xf>
    <xf numFmtId="0" fontId="16" fillId="0" borderId="0" xfId="0" applyFon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family val="2"/>
        <scheme val="none"/>
      </font>
      <fill>
        <patternFill patternType="solid">
          <fgColor rgb="FF4472C4"/>
          <bgColor rgb="FF4472C4"/>
        </patternFill>
      </fill>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Count of gpt_name</c:v>
          </c:tx>
          <c:spPr>
            <a:solidFill>
              <a:schemeClr val="accent1"/>
            </a:solidFill>
            <a:ln>
              <a:noFill/>
            </a:ln>
            <a:effectLst/>
          </c:spPr>
          <c:invertIfNegative val="0"/>
          <c:cat>
            <c:strLit>
              <c:ptCount val="275"/>
              <c:pt idx="0">
                <c:v>A blunt, no-nonsence reviewer of feedback that can be used to coach consultants on selling work</c:v>
              </c:pt>
              <c:pt idx="1">
                <c:v>A challenging leadership coach helping you grow into a trusted advisor and commercial leader.</c:v>
              </c:pt>
              <c:pt idx="2">
                <c:v>A creative strategic advisor for CEOs on emerging topics and future possibilities.</c:v>
              </c:pt>
              <c:pt idx="3">
                <c:v>A distinctive-level executive assistant and project coordinator, embodying excellence in firm support.</c:v>
              </c:pt>
              <c:pt idx="4">
                <c:v>A GPT to automate the initial draft of candidate reports using my writing style and format.</c:v>
              </c:pt>
              <c:pt idx="5">
                <c:v>A leadership-focused copywriter crafting SEO-rich, diagnostic web content for senior executives.</c:v>
              </c:pt>
              <c:pt idx="6">
                <c:v>A platform engineer for IaC, DevOps, automation, and builds.</c:v>
              </c:pt>
              <c:pt idx="7">
                <c:v>A precise letter writer for Nvidia candidate recommendations.</c:v>
              </c:pt>
              <c:pt idx="8">
                <c:v>A psychometric expert that crafts and refines reports in your preferred tone and style.</c:v>
              </c:pt>
              <c:pt idx="9">
                <c:v>A self-awareness and strategy assistant for Sarah Lermsider, designed to analyze work patterns, reinforce RRA standards, and support growth.</c:v>
              </c:pt>
              <c:pt idx="10">
                <c:v>A senior B2B copywriter crafting distinctive, advisor-led Insights for CHRO audiences.</c:v>
              </c:pt>
              <c:pt idx="11">
                <c:v>A senior PE operating partner lens for leadership and value creation analysis.</c:v>
              </c:pt>
              <c:pt idx="12">
                <c:v>A senior-level copywriter creating authoritative, SEO-optimized leadership content.</c:v>
              </c:pt>
              <c:pt idx="13">
                <c:v>A strategic intelligence partner responsible for monitoring platform changes, algorithm updates, audience behavior shifts, and cultural or industry trendsâ€”and translating those signals into clear, actionable recommendations for content strategy, publishi</c:v>
              </c:pt>
              <c:pt idx="14">
                <c:v>A tool that processes transcripts by cleaning, theming, analyzing nuance, extracting insights, and preparing outputs for different audiences.</c:v>
              </c:pt>
              <c:pt idx="15">
                <c:v>A warm but authoritative content marketing leader and trusted advisor.</c:v>
              </c:pt>
              <c:pt idx="16">
                <c:v>Acts as a Search Excellence coach, guiding users on how to execute search according to a set of standards based on provided slides. Offers coaching, answers questions, and provides actionable feedback to help users adhere to best practices.</c:v>
              </c:pt>
              <c:pt idx="17">
                <c:v>Agent to suggest jokes, anecdotes, and amusing stories to fit a circumstance</c:v>
              </c:pt>
              <c:pt idx="18">
                <c:v>Allow user to search article on RRA Insights, creates talking points, Linkedin post and email about article</c:v>
              </c:pt>
              <c:pt idx="19">
                <c:v>An  assistant to help RRA employees understand the firmâ€™s AI Policy. Ask the GPT how to responsibly use AI tools in daily work. Use these quick start prompts below to help get you started</c:v>
              </c:pt>
              <c:pt idx="20">
                <c:v>An AI assistant that helps RRA employeesHelping RRA employees navigate AI policy with clarity and confidence.</c:v>
              </c:pt>
              <c:pt idx="21">
                <c:v>An assistant that reads invoices and instantly generates your AP submission email with the correct coding, description, and formatted template.</c:v>
              </c:pt>
              <c:pt idx="22">
                <c:v>An expert industrial psychologist who helps craft executive assessment reports.</c:v>
              </c:pt>
              <c:pt idx="23">
                <c:v>Analyzes 360Â° feedback files and produces evidence-based Strengths and Development Areas tables with full verbatim quotes.</c:v>
              </c:pt>
              <c:pt idx="24">
                <c:v>Analyzes Hogan results and produces concise leadership reports in business language.</c:v>
              </c:pt>
              <c:pt idx="25">
                <c:v>Analyzes job descriptions to assess AI task automation and generate dashboards.</c:v>
              </c:pt>
              <c:pt idx="26">
                <c:v>Analyzes job specs and outputs keyword tables with insights and search-optimized Boolean lists including importance and assessment data.</c:v>
              </c:pt>
              <c:pt idx="27">
                <c:v>Analyzes Outlook and work data to reveal leadership potential and growth paths.</c:v>
              </c:pt>
              <c:pt idx="28">
                <c:v>Analyzes trends and profiles in Fortune 500 legal and governance leadership.</c:v>
              </c:pt>
              <c:pt idx="29">
                <c:v>Answers AskRRA questions about personnel policies</c:v>
              </c:pt>
              <c:pt idx="30">
                <c:v>Assess a client and/or candidate</c:v>
              </c:pt>
              <c:pt idx="31">
                <c:v>Australian version</c:v>
              </c:pt>
              <c:pt idx="32">
                <c:v>Automates the extraction and coding of monthly stationery invoices from Automation Graphics. It reads invoice PDFs, maps each office to its correct budget code, and generates a polished email summary ready to send to Accounts Payable for payment processing</c:v>
              </c:pt>
              <c:pt idx="33">
                <c:v>Automatically cleans and elevates raw notes into client-ready documentation.</c:v>
              </c:pt>
              <c:pt idx="34">
                <c:v>Automatically translates between English and Japanese with three tone variations.</c:v>
              </c:pt>
              <c:pt idx="35">
                <c:v>Basic 150 word summary for SM comments</c:v>
              </c:pt>
              <c:pt idx="36">
                <c:v>Browse, search, and summarize your OneNote notebooks in read-only mode.  This GPT does not create, edit, or delete content and is designed for safe exploration and insights.</c:v>
              </c:pt>
              <c:pt idx="37">
                <c:v>Builds evolving internal search reports with mapped titles, insights, and company segmentation.</c:v>
              </c:pt>
              <c:pt idx="38">
                <c:v>Builds Salesforceâ€“SQL PowerShell scripts with auth, timestamped logs, and environment-based defaults.</c:v>
              </c:pt>
              <c:pt idx="39">
                <c:v>Business-savvy research assistant for finding relevant RRA projects.</c:v>
              </c:pt>
              <c:pt idx="40">
                <c:v>Caliper Analysis</c:v>
              </c:pt>
              <c:pt idx="41">
                <c:v>Candidate Content Agent</c:v>
              </c:pt>
              <c:pt idx="42">
                <c:v>Candidate Report Writer</c:v>
              </c:pt>
              <c:pt idx="43">
                <c:v>Capture CEO notes, follow up actions, and email a client after meeting.</c:v>
              </c:pt>
              <c:pt idx="44">
                <c:v>Classifies healthcare companies into sub-sectors with concise, factual reasoning.</c:v>
              </c:pt>
              <c:pt idx="45">
                <c:v>Cleans and polishes reference interview transcripts for executive search work.</c:v>
              </c:pt>
              <c:pt idx="46">
                <c:v>Cleans newsletters, emails, or text dumps by removing event listings, contact/masthead blocks, and sponsored content. Returns JSON with the cleaned text and a removal audit.</c:v>
              </c:pt>
              <c:pt idx="47">
                <c:v>Cleans raw notes into clear, professional documents.</c:v>
              </c:pt>
              <c:pt idx="48">
                <c:v>Cleans up and Organizes Prospect Screen Call Notes</c:v>
              </c:pt>
              <c:pt idx="49">
                <c:v>Cleans, formats, and refines executive search and interview notes for professional output.</c:v>
              </c:pt>
              <c:pt idx="50">
                <c:v>CL's in my personal style</c:v>
              </c:pt>
              <c:pt idx="51">
                <c:v>Coach that logs runs to one CSV and shows progress toward a half marathon.</c:v>
              </c:pt>
              <c:pt idx="52">
                <c:v>Compare self appraisals and feedback with WGLL for Research</c:v>
              </c:pt>
              <c:pt idx="53">
                <c:v>Compares master roster with Zoom exports to mark session attendance.</c:v>
              </c:pt>
              <c:pt idx="54">
                <c:v>Consultant Finder aims to make it dramatically easier to locate internal expertise â€” accelerating client teaming, business development, and knowledge sharing.</c:v>
              </c:pt>
              <c:pt idx="55">
                <c:v>Convert transcriptions to structured notes</c:v>
              </c:pt>
              <c:pt idx="56">
                <c:v>Corporate Structures</c:v>
              </c:pt>
              <c:pt idx="57">
                <c:v>Counts logos, extracts credentials, flags unidentified positions, outputs sorted table and CSV.</c:v>
              </c:pt>
              <c:pt idx="58">
                <c:v>Crea resÃºmenes profesionales a partir de notas y enlaces de LinkedIn.</c:v>
              </c:pt>
              <c:pt idx="59">
                <c:v>Crea slides claras y estratÃ©gicas que explican la comprensiÃ³n de una situaciÃ³n.</c:v>
              </c:pt>
              <c:pt idx="60">
                <c:v>Creador de estrategias de bÃºsqueda de empresas para proyectos de research y executive search.</c:v>
              </c:pt>
              <c:pt idx="61">
                <c:v>Create a â€œTrends Redefining [Industry] and Talent Implicationsâ€ slide that connects macro forces reshaping the business to leadership and talent requirements specific to the client company. The goal is to translate external industry shifts into interna</c:v>
              </c:pt>
              <c:pt idx="62">
                <c:v>Create a CL</c:v>
              </c:pt>
              <c:pt idx="63">
                <c:v>Create a Person Get Smart Pack to quickly understand key details about an individual â€” including their background, current role, and our firmâ€™s relationship with them. To get started, simply use a prompt like: â€œCreate a Get Smart Pack on Bennett Read</c:v>
              </c:pt>
              <c:pt idx="64">
                <c:v>Create a Smart Pack with key details on an individual person â€” their background, current role, and our firm's relationship with them. You can ask this GPT to review, enhance, or simplify the content. To get started, simply use a prompt like:</c:v>
              </c:pt>
              <c:pt idx="65">
                <c:v>Create a Smart Pack with key details on any individual â€” their background, current role, and our firm's relationship with them. You can ask this GPT to review, enhance, or simplify the content. To get started, simply use a prompt like: â€œCreate a Smart </c:v>
              </c:pt>
              <c:pt idx="66">
                <c:v>Create a Smart Pack with key insights about a company â€” including financial highlights, recent news, and our firmâ€™s relationship with them. You can ask this GPT to review, enhance, or simplify the content. To get started, simply use a prompt like:</c:v>
              </c:pt>
              <c:pt idx="67">
                <c:v>Create Brand Houses aligned to our MarComms Personal Brand training</c:v>
              </c:pt>
              <c:pt idx="68">
                <c:v>Create promotional email, landing page and LinkedIn post for promotional event</c:v>
              </c:pt>
              <c:pt idx="69">
                <c:v>Creates  tables summarising candidates' company experience</c:v>
              </c:pt>
              <c:pt idx="70">
                <c:v>Creates a CL based on notes + CV</c:v>
              </c:pt>
              <c:pt idx="71">
                <c:v>Creates a summary of candidate career history</c:v>
              </c:pt>
              <c:pt idx="72">
                <c:v>Creates a summary of candidate career history (PE)</c:v>
              </c:pt>
              <c:pt idx="73">
                <c:v>Creates authentic, flexible LinkedIn posts blending AI, security, and leadership insights.</c:v>
              </c:pt>
              <c:pt idx="74">
                <c:v>Creates cohesive, anonymized case studies and flags unrelated projects.</c:v>
              </c:pt>
              <c:pt idx="75">
                <c:v>Creates compliant, polished candidate emails for recruiting.</c:v>
              </c:pt>
              <c:pt idx="76">
                <c:v>Creates concise, casual quick guides for software adoption</c:v>
              </c:pt>
              <c:pt idx="77">
                <c:v>Creates concise, client-ready executive summaries from public sources.</c:v>
              </c:pt>
              <c:pt idx="78">
                <c:v>Creates concise, structured Support Briefs for senior executives, modeled on Russell Reynolds Associatesâ€™. This GPT generates professional, fact-based summaries ready for pre-meeting briefing use.</c:v>
              </c:pt>
              <c:pt idx="79">
                <c:v>creates deeply critical and insightful, crisp candidate reports to support clients with interviewing, evaluating and comparing candidates.</c:v>
              </c:pt>
              <c:pt idx="80">
                <c:v>Creates factual, chronological candidate letters with clear $ figures and interpretive insights.</c:v>
              </c:pt>
              <c:pt idx="81">
                <c:v>Creates finalized Weekly Two Things Updates focused on top business themes from the past 7 days.</c:v>
              </c:pt>
              <c:pt idx="82">
                <c:v>Creates formal, factual candidate letters with a narrative and verifiable focus.</c:v>
              </c:pt>
              <c:pt idx="83">
                <c:v>Creates individual stock loan letters for each Managing Director</c:v>
              </c:pt>
              <c:pt idx="84">
                <c:v>Creates polished campaign assets for family enterprise advisory work.</c:v>
              </c:pt>
              <c:pt idx="85">
                <c:v>Creates polished Position Specifications for IT executive searches</c:v>
              </c:pt>
              <c:pt idx="86">
                <c:v>Creates professional career summaries written in full sentences.</c:v>
              </c:pt>
              <c:pt idx="87">
                <c:v>Creates professional leadership Position Specifications for executive search at RRA.</c:v>
              </c:pt>
              <c:pt idx="88">
                <c:v>Creates professional, fact-based Candidate Letters (CLs) for Russell Reynolds Associates.</c:v>
              </c:pt>
              <c:pt idx="89">
                <c:v>Creates short professional bio comments for NEDs</c:v>
              </c:pt>
              <c:pt idx="90">
                <c:v>Creates structured, verbatim-style executive reference reports.</c:v>
              </c:pt>
              <c:pt idx="91">
                <c:v>Creates timely, news-aligned thought leadership for advisors.</c:v>
              </c:pt>
              <c:pt idx="92">
                <c:v>Cross references WGLL with collated feedback</c:v>
              </c:pt>
              <c:pt idx="93">
                <c:v>daily</c:v>
              </c:pt>
              <c:pt idx="94">
                <c:v>Default email processing behavior and warmth calibration applied. Automatically detects, analyzes, and rewrites pasted emails with professional warmth, clarity, and directness.</c:v>
              </c:pt>
              <c:pt idx="95">
                <c:v>deliver deterministic, auditable credit allocation recommendations for winning business, using a rules first approach</c:v>
              </c:pt>
              <c:pt idx="96">
                <c:v>Delivers daily organization and leadership news briefs for select clients.</c:v>
              </c:pt>
              <c:pt idx="97">
                <c:v>Designs evidence-based, inclusive learning programs for leadership advisory professionals.</c:v>
              </c:pt>
              <c:pt idx="98">
                <c:v>Development chats</c:v>
              </c:pt>
              <c:pt idx="99">
                <c:v>Dig the web</c:v>
              </c:pt>
              <c:pt idx="100">
                <c:v>Drafts clear, professional Position Specification content for executive search.</c:v>
              </c:pt>
              <c:pt idx="101">
                <c:v>Drafts concise, factual 3â€“4 paragraph career highlights using only provided facts.</c:v>
              </c:pt>
              <c:pt idx="102">
                <c:v>Drafts invoice and follow-up emails using Pamâ€™s exact phrasing and tone.</c:v>
              </c:pt>
              <c:pt idx="103">
                <c:v>Easily check if your article, slides (PDF), whitepaper or internal documents complies with the RRA style guide. Simply attach the draft or copy/paste the text into the GPT. Use these Quick Start chats below to get started.</c:v>
              </c:pt>
              <c:pt idx="104">
                <c:v>Elite strategist who explains and analyzes healthcare companies and industry terms.</c:v>
              </c:pt>
              <c:pt idx="105">
                <c:v>Email marketer</c:v>
              </c:pt>
              <c:pt idx="106">
                <c:v>Erstellt Candidate Letters im RRA-Stil auf Basis eines Master Samples und spezifischen Contents.</c:v>
              </c:pt>
              <c:pt idx="107">
                <c:v>Evaluates FYF progress, metrics, and feedback to craft next-year goals.</c:v>
              </c:pt>
              <c:pt idx="108">
                <c:v>Expert content editor that scores and optimizes executive-level digital content for impact and SEO.</c:v>
              </c:pt>
              <c:pt idx="109">
                <c:v>Expert content marketer crafting leadership development articles for executives.</c:v>
              </c:pt>
              <c:pt idx="110">
                <c:v>Expert data journalist analyzing and explaining CEO turnover trends.</c:v>
              </c:pt>
              <c:pt idx="111">
                <c:v>Expert global content marketing manager for executive audiences.</c:v>
              </c:pt>
              <c:pt idx="112">
                <c:v>Expert in designing roles with clear performance milestones and ideal profiles.</c:v>
              </c:pt>
              <c:pt idx="113">
                <c:v>Expert organization designer specializing in clarifying critical role challenges.</c:v>
              </c:pt>
              <c:pt idx="114">
                <c:v>Expert performance review GPT for managers.  Before using this GPT, managers should reference their notes and the documents downloaded from the â€œStakeholder Feedbackâ€ section in the employeeâ€™s YE appraisal.</c:v>
              </c:pt>
              <c:pt idx="115">
                <c:v>Expert performance review GPT for managers. Before using this GPT, managers should reference their notes and the documents downloaded from the â€œStakeholder Feedbackâ€ section in the employeeâ€™s YE appraisal.</c:v>
              </c:pt>
              <c:pt idx="116">
                <c:v>Extracts companies and roles from Excel, PPT, and screenshots, includes a secondary 'check-on-insight' table for PPT-only items.</c:v>
              </c:pt>
              <c:pt idx="117">
                <c:v>Extracts CPP data from reports then writes a summary</c:v>
              </c:pt>
              <c:pt idx="118">
                <c:v>Extracts metrics from Excel and updates PowerPoints.</c:v>
              </c:pt>
              <c:pt idx="119">
                <c:v>Fetch information from a Genie space about Santa's reindeer</c:v>
              </c:pt>
              <c:pt idx="120">
                <c:v>Finds Vijuraj Eranazhathâ€™s in-person client meetings with city tags</c:v>
              </c:pt>
              <c:pt idx="121">
                <c:v>Fix JSON formats</c:v>
              </c:pt>
              <c:pt idx="122">
                <c:v>For all references</c:v>
              </c:pt>
              <c:pt idx="123">
                <c:v>For generating Growth Factors + Potential Realization bullets in RRA slide-ready style</c:v>
              </c:pt>
              <c:pt idx="124">
                <c:v>Formats pasted news into clean, precise summaries in plain text with lines between entries.</c:v>
              </c:pt>
              <c:pt idx="125">
                <c:v>Formuliert gesprochene Inputs zu fertigen Nachrichten mit passendem Ton, Formatierung und Kontextbezug.</c:v>
              </c:pt>
              <c:pt idx="126">
                <c:v>Friendly assistant guiding new hires through their first 90 days.</c:v>
              </c:pt>
              <c:pt idx="127">
                <c:v>Generate a set of RRA Psych Only Assessment Slides based on the following files: hogan report, opq report</c:v>
              </c:pt>
              <c:pt idx="128">
                <c:v>Generate effective Custom GPT instructions</c:v>
              </c:pt>
              <c:pt idx="129">
                <c:v>Generate Monthly Variance Report - created by Amay Kothari</c:v>
              </c:pt>
              <c:pt idx="130">
                <c:v>Generates a Monthly Variance Analysis Report for CompanyA based on financial data</c:v>
              </c:pt>
              <c:pt idx="131">
                <c:v>Generates a Monthly Variance Analysis Report for Russell Reynolds based on financial data</c:v>
              </c:pt>
              <c:pt idx="132">
                <c:v>Generates all Leadership Lounge episode promotional content, including nurture emails.</c:v>
              </c:pt>
              <c:pt idx="133">
                <c:v>Generates and prioritizes RRA-style user stories with annotated mockups based on feedback, problems, or media.</c:v>
              </c:pt>
              <c:pt idx="134">
                <c:v>Generates concise, verified company descriptions with key stats in a consistent, report-ready format.</c:v>
              </c:pt>
              <c:pt idx="135">
                <c:v>Generates structured, factual candidate letters in RRA format with tone matching the Anuj Gaggar template.</c:v>
              </c:pt>
              <c:pt idx="136">
                <c:v>Generates structured, factual candidate letters in RRA format with tone matching the Mayo Pujols template.</c:v>
              </c:pt>
              <c:pt idx="137">
                <c:v>Get answers to questions about our Client Feedback. Ask by Consultant, Client, Industry, Office, Service Line, and time-period. NOTE: Data is limited by project membership and leadership roles. You can only ask questions over data you have access to.</c:v>
              </c:pt>
              <c:pt idx="138">
                <c:v>Get CEO candidates on a specific assignment ID</c:v>
              </c:pt>
              <c:pt idx="139">
                <c:v>Get information from a Sharepoint Online Site</c:v>
              </c:pt>
              <c:pt idx="140">
                <c:v>Gets a greeting from a mcp server</c:v>
              </c:pt>
              <c:pt idx="141">
                <c:v>Given a set of GPT instructions (prompt) and an issue, explain how it might be solved and suggest new instructions</c:v>
              </c:pt>
              <c:pt idx="142">
                <c:v>Gives a daily summary of outstanding tasks on first use each day.</c:v>
              </c:pt>
              <c:pt idx="143">
                <c:v>Global CEO Turnover Index Report Writer</c:v>
              </c:pt>
              <c:pt idx="144">
                <c:v>GPT for answering AskRRA questions</c:v>
              </c:pt>
              <c:pt idx="145">
                <c:v>GPT helps synthesize candidate experiences into highlights for status updates.</c:v>
              </c:pt>
              <c:pt idx="146">
                <c:v>GPT Tester</c:v>
              </c:pt>
              <c:pt idx="147">
                <c:v>Hello! Ask me any questions you have about ChatGPT Pro and it's capabilities. You can use these Quick Start prompts below to get started.</c:v>
              </c:pt>
              <c:pt idx="148">
                <c:v>Help me produce polished and clear powerpoint slides for presentations to business stakeholders and clients</c:v>
              </c:pt>
              <c:pt idx="149">
                <c:v>help me work efficiently and smarter</c:v>
              </c:pt>
              <c:pt idx="150">
                <c:v>Helps create polished client-ready referencing documents.</c:v>
              </c:pt>
              <c:pt idx="151">
                <c:v>Helps design and define a Marketing Ops AI team member.</c:v>
              </c:pt>
              <c:pt idx="152">
                <c:v>Helps leaders craft polished, structured performance reviews using firm-approved prompts.</c:v>
              </c:pt>
              <c:pt idx="153">
                <c:v>Helps prepare structured talking points and narratives for executive-search client calls, including candidate pros/cons, differentiators, and open questions. Supports role-playing and summarizing updates for confident, business-ready delivery.</c:v>
              </c:pt>
              <c:pt idx="154">
                <c:v>Helps with cybersecurity operations, risk assessment, and threat analysis.</c:v>
              </c:pt>
              <c:pt idx="155">
                <c:v>Helps write assessment report content</c:v>
              </c:pt>
              <c:pt idx="156">
                <c:v>Helps you craft thoughtful, balanced self and peer performance reviews.</c:v>
              </c:pt>
              <c:pt idx="157">
                <c:v>Helps you with the administrative part of the DPIA</c:v>
              </c:pt>
              <c:pt idx="158">
                <c:v>Hooked up to Genie via Databricks MCP server</c:v>
              </c:pt>
              <c:pt idx="159">
                <c:v>I give a company name and you answer in the format that I can paste into a document I am building</c:v>
              </c:pt>
              <c:pt idx="160">
                <c:v>Identifies Consultant Expertise in the RRA Ecosystem</c:v>
              </c:pt>
              <c:pt idx="161">
                <c:v>Input episode title, description, video clip transcripts, and quote card text to receive all promo assets for the episode.</c:v>
              </c:pt>
              <c:pt idx="162">
                <c:v>Input: Paste in a Meeting Transcript, Agenda, and Short-Hand Notes  Output: A formatted summary of the meeting with action items, key discussion points, and next steps</c:v>
              </c:pt>
              <c:pt idx="163">
                <c:v>Instantly creates full SmartPack drafts for Karalee Close.</c:v>
              </c:pt>
              <c:pt idx="164">
                <c:v>Interactively create a Candidate Letter from documents, notes and examples</c:v>
              </c:pt>
              <c:pt idx="165">
                <c:v>Interprets assessment data and builds structured, executive-ready leadership insights.</c:v>
              </c:pt>
              <c:pt idx="166">
                <c:v>It monitors trends in job specs over time</c:v>
              </c:pt>
              <c:pt idx="167">
                <c:v>Locate and concisely summarize the key components to write my self assessment</c:v>
              </c:pt>
              <c:pt idx="168">
                <c:v>Manages emails and calendar events in Microsoft Outlook</c:v>
              </c:pt>
              <c:pt idx="169">
                <c:v>Notes for candidates one pagers for status reports</c:v>
              </c:pt>
              <c:pt idx="170">
                <c:v>One-click study mode: structured study plan, active recall and spaced-practice exercises.</c:v>
              </c:pt>
              <c:pt idx="171">
                <c:v>OneNote Connector</c:v>
              </c:pt>
              <c:pt idx="172">
                <c:v>Podcast assistant for Redefiners &amp; Leadership Loungeâ€”scripts, summaries, notes, and episode assets</c:v>
              </c:pt>
              <c:pt idx="173">
                <c:v>Podcast Script Writer Agent</c:v>
              </c:pt>
              <c:pt idx="174">
                <c:v>Polished yet personable executiveâ€‘search assistant for drafting emails.</c:v>
              </c:pt>
              <c:pt idx="175">
                <c:v>Polishes any sentence or text, providing 3 versions in idiomatic business English.</c:v>
              </c:pt>
              <c:pt idx="176">
                <c:v>Polishes corporate writing to be pithy, strategic, and on-brand with Russell Reynolds style.</c:v>
              </c:pt>
              <c:pt idx="177">
                <c:v>Polishes emails into professional business English or German in RRA style.</c:v>
              </c:pt>
              <c:pt idx="178">
                <c:v>Polishes Japanese communication for tone, fluency, and clarity.</c:v>
              </c:pt>
              <c:pt idx="179">
                <c:v>Prepares concise, factual Russell Reynoldsâ€“style candidate summaries for client packs.</c:v>
              </c:pt>
              <c:pt idx="180">
                <c:v>Produces Airbus-style executive assessment reports highlighting functional and technical expertise.</c:v>
              </c:pt>
              <c:pt idx="181">
                <c:v>Produces concise, weighted GLM insights; reports unweighted base sizes only on request.</c:v>
              </c:pt>
              <c:pt idx="182">
                <c:v>Produces formal reference reports aligned with RRA reporting standards.</c:v>
              </c:pt>
              <c:pt idx="183">
                <c:v>Produces rigorous, executive-level Experience Analysis, Key Achievements, and Functional Summary sections for Hensoldt assessment reports.</c:v>
              </c:pt>
              <c:pt idx="184">
                <c:v>Profile Search Ideas</c:v>
              </c:pt>
              <c:pt idx="185">
                <c:v>Profile Search Ideas (internally and externally)</c:v>
              </c:pt>
              <c:pt idx="186">
                <c:v>Proposes a set of meeting times for Assessments given Consultant and Assessment Targets and a set of constraints.</c:v>
              </c:pt>
              <c:pt idx="187">
                <c:v>Provides concise, structured feedback and integrates external insights into Grant Gilchristâ€™s HealthTech CEO paper.</c:v>
              </c:pt>
              <c:pt idx="188">
                <c:v>Relevant missed information from Outlook and Slack.</c:v>
              </c:pt>
              <c:pt idx="189">
                <c:v>Removes event listings, contact/masthead blocks and sponsored sections from text and returns a strict JSON audit</c:v>
              </c:pt>
              <c:pt idx="190">
                <c:v>Research analyst that builds clear, defensible target company lists.</c:v>
              </c:pt>
              <c:pt idx="191">
                <c:v>Retrieve information about company leaders from BoardEx</c:v>
              </c:pt>
              <c:pt idx="192">
                <c:v>Return email from a timeperiod for a person</c:v>
              </c:pt>
              <c:pt idx="193">
                <c:v>Review Amy Scissonsâ€™s calendar for the upcoming week and create a polished â€œAgenda Snapshotâ€ email that mirrors the reference sample provided.</c:v>
              </c:pt>
              <c:pt idx="194">
                <c:v>Routes User To GPT</c:v>
              </c:pt>
              <c:pt idx="195">
                <c:v>RRA-branded deal-prep researcher with PDF download option (UK English, investor-neutral, balanced-depth)</c:v>
              </c:pt>
              <c:pt idx="196">
                <c:v>RRA-style Word reference guide outlining the standard method for assessment tracker analysis.</c:v>
              </c:pt>
              <c:pt idx="197">
                <c:v>Secure RRA assistant with clear, professional language (no contractions).</c:v>
              </c:pt>
              <c:pt idx="198">
                <c:v>Segment candidate profiles into archetypes that can be used to identify strengths for a given role/job description</c:v>
              </c:pt>
              <c:pt idx="199">
                <c:v>Self-Appraisal GPT helps you craft thoughtful, authentic, and strategic reflections for your yearly performance review. It analyzes your past reviews, achievements, and career goals to generate clear, impactful responses that highlight your growth, contrib</c:v>
              </c:pt>
              <c:pt idx="200">
                <c:v>Send me my daily schedule, to-do list, business news headlines for the day, a daily affirmation, and a goal</c:v>
              </c:pt>
              <c:pt idx="201">
                <c:v>Short English company summaries with revenue, market cap, and ownership type in USD only.</c:v>
              </c:pt>
              <c:pt idx="202">
                <c:v>single prompts</c:v>
              </c:pt>
              <c:pt idx="203">
                <c:v>SLT Update GPT converts the inconsistent, lengthy MarComms Weekly Summary into a polished SLT Update. The model must rewrite, refine, filter for relevance, and format content exactly as specified.</c:v>
              </c:pt>
              <c:pt idx="204">
                <c:v>Software Development Advisor to help me make decisions, evaluate dev effort/timelines, and learn more about the perspective and process of software development team.</c:v>
              </c:pt>
              <c:pt idx="205">
                <c:v>Strategic and empathetic coach helping Susie strengthen influence, trust, and leadership.</c:v>
              </c:pt>
              <c:pt idx="206">
                <c:v>Streamline the onboarding process for new co-hosts of the Redefiners podcast. This agent will automatically generate three key outputs: welcome email, social media promotion, and Q&amp;A session script.</c:v>
              </c:pt>
              <c:pt idx="207">
                <c:v>Strictly enforces fuzzy role consistency and a hard max of 30 Top Cred projects, with dynamic tightening and mandatory truncation if exceeded.</c:v>
              </c:pt>
              <c:pt idx="208">
                <c:v>Summarize meeting notes with clear succinct bullets with action items, key insights, owners, deadlines, and links.</c:v>
              </c:pt>
              <c:pt idx="209">
                <c:v>Synthesizes stakeholder interview notes into structured leadership success profiles.</c:v>
              </c:pt>
              <c:pt idx="210">
                <c:v>Takes inputs from a range of client materials and interviews and populates a set template to provide a concise, structured overview for the search.</c:v>
              </c:pt>
              <c:pt idx="211">
                <c:v>Takes uploaded 360 notes and identifies themes</c:v>
              </c:pt>
              <c:pt idx="212">
                <c:v>Test</c:v>
              </c:pt>
              <c:pt idx="213">
                <c:v>test connection to apim</c:v>
              </c:pt>
              <c:pt idx="214">
                <c:v>Test out running python code embedded in a GPT</c:v>
              </c:pt>
              <c:pt idx="215">
                <c:v>testing the sync</c:v>
              </c:pt>
              <c:pt idx="216">
                <c:v>The agent will take information from a high-level gantt chart and draft an engagement letter.</c:v>
              </c:pt>
              <c:pt idx="217">
                <c:v>The Historianâ€™s Lens â€” an artificial historian who interprets modern events through the analogies, patterns, and lessons of world history.</c:v>
              </c:pt>
              <c:pt idx="218">
                <c:v>This agent creates executive-ready, multi-channel marketing assets to promote a regionally authored RRA paper or article. It translates a regional campaign brief into sophisticated, insight-led promotional content while maintaining alignment with RRAâ€™s g</c:v>
              </c:pt>
              <c:pt idx="219">
                <c:v>This agent is designed to determine the merits of external guest recommendations for Redefiners Episodes.</c:v>
              </c:pt>
              <c:pt idx="220">
                <c:v>This GPT can generate comprehensive smart pack document which will include RRA history, connections and relationships with this person and its company</c:v>
              </c:pt>
              <c:pt idx="221">
                <c:v>This GPT can help RRA teams to create a Company smart-pack.</c:v>
              </c:pt>
              <c:pt idx="222">
                <c:v>This GPT can Q&amp;A on Assignment/PNB  data</c:v>
              </c:pt>
              <c:pt idx="223">
                <c:v>This GPT finds topics in open-ended responses</c:v>
              </c:pt>
              <c:pt idx="224">
                <c:v>This GPT helps you write effective prompts</c:v>
              </c:pt>
              <c:pt idx="225">
                <c:v>This GPT is to create smartpack for a Company. These smartpack contains information about the company, its executives, RRA activity on ASN, PNB and BD, latest news, Stock analysis, SWOT Analysis</c:v>
              </c:pt>
              <c:pt idx="226">
                <c:v>This GPT reads a meeting summary and extracts the key action points for your team or department</c:v>
              </c:pt>
              <c:pt idx="227">
                <c:v>This GPT reads meeting summary and extracts the key action points for your team or department</c:v>
              </c:pt>
              <c:pt idx="228">
                <c:v>This GPT transforms a global RRA paper or article into a fully regionalized version and creates a suite of executive-ready, multi-channel marketing assets based on a detailed regional campaign brief. It ensures alignment with RRAâ€™s global brand standards</c:v>
              </c:pt>
              <c:pt idx="229">
                <c:v>This GPT will help to parse e-mail exchanges about leaves, identify relevant information, and create a summary document for data input into Workday</c:v>
              </c:pt>
              <c:pt idx="230">
                <c:v>This GPT will review RRA's Global CEO Turnover Index Data and write a report looking at the trends in 2025. The GPT will review the data, identify key themes. create questions to ask our leadership advisors, write a report outline, write the report &amp; creat</c:v>
              </c:pt>
              <c:pt idx="231">
                <c:v>This GPT will scan notes from previous meetings and project plan and take this information to draft meeting agendas.</c:v>
              </c:pt>
              <c:pt idx="232">
                <c:v>This transcribes zoom transcripts of interview notes into my format.</c:v>
              </c:pt>
              <c:pt idx="233">
                <c:v>To create reports from explanations</c:v>
              </c:pt>
              <c:pt idx="234">
                <c:v>Training a GPT to help write Executive Assessment reports, in particular the B&amp;E sections</c:v>
              </c:pt>
              <c:pt idx="235">
                <c:v>Transforms executive search call notes into clean, Excel-ready structured data lines for tracking contacts.</c:v>
              </c:pt>
              <c:pt idx="236">
                <c:v>Transforms leadership feedback into clear, empowering, growth oriented insights.</c:v>
              </c:pt>
              <c:pt idx="237">
                <c:v>Translates text</c:v>
              </c:pt>
              <c:pt idx="238">
                <c:v>Trusted advisor and storyteller crafting authentic, strategic pitch intros.</c:v>
              </c:pt>
              <c:pt idx="239">
                <c:v>Trusted comms advisor focused on strategy and audience engagement.</c:v>
              </c:pt>
              <c:pt idx="240">
                <c:v>Turns recruiter reference notes into polished, client-ready summaries with JC example tone.</c:v>
              </c:pt>
              <c:pt idx="241">
                <c:v>Turns rough client call notes into structured summaries with bullet-style themes and feedback.</c:v>
              </c:pt>
              <c:pt idx="242">
                <c:v>Upload a CV to instantly generate a crisp, 300-word leadership career summary with facts, impact, and narrative flow.</c:v>
              </c:pt>
              <c:pt idx="243">
                <c:v>Upload Excel File for analysis and set date range.</c:v>
              </c:pt>
              <c:pt idx="244">
                <c:v>Upload Post Close excel and say "Generate the Firm Services email from the attached workbook and return the final email body"</c:v>
              </c:pt>
              <c:pt idx="245">
                <c:v>Upload the latest Global Variance excel and instruct the GPT to "Please run the report"</c:v>
              </c:pt>
              <c:pt idx="246">
                <c:v>Use this GPT to detect if content is AI Generated. Paste in an email, article or communication and the GPT will score the likelihood that it is AI Generated.</c:v>
              </c:pt>
              <c:pt idx="247">
                <c:v>Use this GPT to get data ready for analysis and report production.</c:v>
              </c:pt>
              <c:pt idx="248">
                <c:v>Uses RRA CAPstone models including CCE, Talent Gap, PESTLE, Pyramid, and Outcomeâ€“Intent framing.</c:v>
              </c:pt>
              <c:pt idx="249">
                <c:v>Uses the Client Summary &amp; Outreach Template to deliver adaptive client updates and personalized follow-ups.</c:v>
              </c:pt>
              <c:pt idx="250">
                <c:v>Uses transcript to summarize initial interview</c:v>
              </c:pt>
              <c:pt idx="251">
                <c:v>Verifies company links and PE/VC backing using concise, factual summaries.</c:v>
              </c:pt>
              <c:pt idx="252">
                <c:v>Welcome to RRA ChatGPT Pro!  Work with the Prompt Coach to build prompt engineering skill and confidence through short, role-specific exercises. Dive in, stay curious, and discover what you and ChatGPT Pro can do together!</c:v>
              </c:pt>
              <c:pt idx="253">
                <c:v>Write a first draft of Constantine's YE appraisals based on various pieces of input.</c:v>
              </c:pt>
              <c:pt idx="254">
                <c:v>write a reviews based on your writing style and tone</c:v>
              </c:pt>
              <c:pt idx="255">
                <c:v>Write an executive bio of this individual in bullets. Keep it factual/concise.</c:v>
              </c:pt>
              <c:pt idx="256">
                <c:v>Write concise - insightful leadership assessment reports for c-suite leaders. Some are candidates some are in place but these insights will inform big people decisions. we re helping clients understand the DNA of the leader, what makes the leader they are </c:v>
              </c:pt>
              <c:pt idx="257">
                <c:v>write exec level emails</c:v>
              </c:pt>
              <c:pt idx="258">
                <c:v>Writes and refines social copy in the Russell Reynolds Associates brand voice.</c:v>
              </c:pt>
              <c:pt idx="259">
                <c:v>Writes authentic, story-driven LinkedIn posts in Clarke Murphyâ€™s human, reflective voice.</c:v>
              </c:pt>
              <c:pt idx="260">
                <c:v>Writes balanced, tailored Regal Rexnord candidate letters.</c:v>
              </c:pt>
              <c:pt idx="261">
                <c:v>Writes candidate reports</c:v>
              </c:pt>
              <c:pt idx="262">
                <c:v>Writes compelling executive position specifications</c:v>
              </c:pt>
              <c:pt idx="263">
                <c:v>Writes executive-style candidate letters following a structured three-part evaluation framework.</c:v>
              </c:pt>
              <c:pt idx="264">
                <c:v>Writes structured, objective candidate reports based on CVs and interviews for senior executive search.</c:v>
              </c:pt>
              <c:pt idx="265">
                <c:v>You are a Lead Developer and Technical Coach helping a non-technical Product Manager who designs internal tools and business applications at a consulting firm.</c:v>
              </c:pt>
              <c:pt idx="266">
                <c:v>You are a smart lead assignment assistant for a marketing team. Your job is to evaluate incoming marketing leads and assign them to the most appropriate RRA colleague.</c:v>
              </c:pt>
              <c:pt idx="267">
                <c:v>You are a succession and governance advisor that provides concise, trusted insights on CEO succession and Board governance-related topics.</c:v>
              </c:pt>
              <c:pt idx="268">
                <c:v>You are a supportive technical lead and coach who helps a non-technical product manager reason through technical decisions, design tradeoffs, and implementation options.</c:v>
              </c:pt>
              <c:pt idx="269">
                <c:v>You are an executive briefing assistant that prepares consistent, reliable â€œMeeting Smart Packs". Your purpose is to prepare concise, credible, and well-structured briefings for meetings with senior executives.</c:v>
              </c:pt>
              <c:pt idx="270">
                <c:v>You are an industry trend advisor that provides concise, high-impact industry and leadership insights.</c:v>
              </c:pt>
              <c:pt idx="271">
                <c:v>Your firm but witty Marshall Goldsmithâ€“style coach with structured accountability and creative growth exercises.</c:v>
              </c:pt>
              <c:pt idx="272">
                <c:v>Your intelligent assistant for discovering the most relevant RRA project credentials for your task at hand.</c:v>
              </c:pt>
              <c:pt idx="273">
                <c:v>Your LinkedIn writing partner for Russell Reynolds Associates. This GPT helps consultants transform their insights, experiences, and content into authentic, on-brand LinkedIn posts that reflect their unique voice while aligning with the firmâ€™s personal b</c:v>
              </c:pt>
              <c:pt idx="274">
                <c:v>(blank)</c:v>
              </c:pt>
            </c:strLit>
          </c:cat>
          <c:val>
            <c:numLit>
              <c:formatCode>General</c:formatCode>
              <c:ptCount val="27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2</c:v>
              </c:pt>
              <c:pt idx="19">
                <c:v>1</c:v>
              </c:pt>
              <c:pt idx="20">
                <c:v>1</c:v>
              </c:pt>
              <c:pt idx="21">
                <c:v>1</c:v>
              </c:pt>
              <c:pt idx="22">
                <c:v>1</c:v>
              </c:pt>
              <c:pt idx="23">
                <c:v>1</c:v>
              </c:pt>
              <c:pt idx="24">
                <c:v>1</c:v>
              </c:pt>
              <c:pt idx="25">
                <c:v>1</c:v>
              </c:pt>
              <c:pt idx="26">
                <c:v>1</c:v>
              </c:pt>
              <c:pt idx="27">
                <c:v>1</c:v>
              </c:pt>
              <c:pt idx="28">
                <c:v>2</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3</c:v>
              </c:pt>
              <c:pt idx="128">
                <c:v>1</c:v>
              </c:pt>
              <c:pt idx="129">
                <c:v>1</c:v>
              </c:pt>
              <c:pt idx="130">
                <c:v>1</c:v>
              </c:pt>
              <c:pt idx="131">
                <c:v>1</c:v>
              </c:pt>
              <c:pt idx="132">
                <c:v>1</c:v>
              </c:pt>
              <c:pt idx="133">
                <c:v>1</c:v>
              </c:pt>
              <c:pt idx="134">
                <c:v>1</c:v>
              </c:pt>
              <c:pt idx="135">
                <c:v>1</c:v>
              </c:pt>
              <c:pt idx="136">
                <c:v>1</c:v>
              </c:pt>
              <c:pt idx="137">
                <c:v>3</c:v>
              </c:pt>
              <c:pt idx="138">
                <c:v>4</c:v>
              </c:pt>
              <c:pt idx="139">
                <c:v>1</c:v>
              </c:pt>
              <c:pt idx="140">
                <c:v>1</c:v>
              </c:pt>
              <c:pt idx="141">
                <c:v>1</c:v>
              </c:pt>
              <c:pt idx="142">
                <c:v>1</c:v>
              </c:pt>
              <c:pt idx="143">
                <c:v>1</c:v>
              </c:pt>
              <c:pt idx="144">
                <c:v>2</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5</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2</c:v>
              </c:pt>
              <c:pt idx="209">
                <c:v>1</c:v>
              </c:pt>
              <c:pt idx="210">
                <c:v>1</c:v>
              </c:pt>
              <c:pt idx="211">
                <c:v>1</c:v>
              </c:pt>
              <c:pt idx="212">
                <c:v>1</c:v>
              </c:pt>
              <c:pt idx="213">
                <c:v>1</c:v>
              </c:pt>
              <c:pt idx="214">
                <c:v>1</c:v>
              </c:pt>
              <c:pt idx="215">
                <c:v>1</c:v>
              </c:pt>
              <c:pt idx="216">
                <c:v>1</c:v>
              </c:pt>
              <c:pt idx="217">
                <c:v>1</c:v>
              </c:pt>
              <c:pt idx="218">
                <c:v>1</c:v>
              </c:pt>
              <c:pt idx="219">
                <c:v>1</c:v>
              </c:pt>
              <c:pt idx="220">
                <c:v>4</c:v>
              </c:pt>
              <c:pt idx="221">
                <c:v>6</c:v>
              </c:pt>
              <c:pt idx="222">
                <c:v>2</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2</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2</c:v>
              </c:pt>
              <c:pt idx="268">
                <c:v>1</c:v>
              </c:pt>
              <c:pt idx="269">
                <c:v>1</c:v>
              </c:pt>
              <c:pt idx="270">
                <c:v>1</c:v>
              </c:pt>
              <c:pt idx="271">
                <c:v>1</c:v>
              </c:pt>
              <c:pt idx="272">
                <c:v>1</c:v>
              </c:pt>
              <c:pt idx="273">
                <c:v>1</c:v>
              </c:pt>
              <c:pt idx="274">
                <c:v>98</c:v>
              </c:pt>
            </c:numLit>
          </c:val>
          <c:extLst>
            <c:ext xmlns:c16="http://schemas.microsoft.com/office/drawing/2014/chart" uri="{C3380CC4-5D6E-409C-BE32-E72D297353CC}">
              <c16:uniqueId val="{00000000-22F6-4252-BA36-06C867324A2A}"/>
            </c:ext>
          </c:extLst>
        </c:ser>
        <c:ser>
          <c:idx val="1"/>
          <c:order val="1"/>
          <c:tx>
            <c:v>Sum of messages_workspace</c:v>
          </c:tx>
          <c:spPr>
            <a:solidFill>
              <a:schemeClr val="accent2"/>
            </a:solidFill>
            <a:ln>
              <a:noFill/>
            </a:ln>
            <a:effectLst/>
          </c:spPr>
          <c:invertIfNegative val="0"/>
          <c:cat>
            <c:strLit>
              <c:ptCount val="275"/>
              <c:pt idx="0">
                <c:v>A blunt, no-nonsence reviewer of feedback that can be used to coach consultants on selling work</c:v>
              </c:pt>
              <c:pt idx="1">
                <c:v>A challenging leadership coach helping you grow into a trusted advisor and commercial leader.</c:v>
              </c:pt>
              <c:pt idx="2">
                <c:v>A creative strategic advisor for CEOs on emerging topics and future possibilities.</c:v>
              </c:pt>
              <c:pt idx="3">
                <c:v>A distinctive-level executive assistant and project coordinator, embodying excellence in firm support.</c:v>
              </c:pt>
              <c:pt idx="4">
                <c:v>A GPT to automate the initial draft of candidate reports using my writing style and format.</c:v>
              </c:pt>
              <c:pt idx="5">
                <c:v>A leadership-focused copywriter crafting SEO-rich, diagnostic web content for senior executives.</c:v>
              </c:pt>
              <c:pt idx="6">
                <c:v>A platform engineer for IaC, DevOps, automation, and builds.</c:v>
              </c:pt>
              <c:pt idx="7">
                <c:v>A precise letter writer for Nvidia candidate recommendations.</c:v>
              </c:pt>
              <c:pt idx="8">
                <c:v>A psychometric expert that crafts and refines reports in your preferred tone and style.</c:v>
              </c:pt>
              <c:pt idx="9">
                <c:v>A self-awareness and strategy assistant for Sarah Lermsider, designed to analyze work patterns, reinforce RRA standards, and support growth.</c:v>
              </c:pt>
              <c:pt idx="10">
                <c:v>A senior B2B copywriter crafting distinctive, advisor-led Insights for CHRO audiences.</c:v>
              </c:pt>
              <c:pt idx="11">
                <c:v>A senior PE operating partner lens for leadership and value creation analysis.</c:v>
              </c:pt>
              <c:pt idx="12">
                <c:v>A senior-level copywriter creating authoritative, SEO-optimized leadership content.</c:v>
              </c:pt>
              <c:pt idx="13">
                <c:v>A strategic intelligence partner responsible for monitoring platform changes, algorithm updates, audience behavior shifts, and cultural or industry trendsâ€”and translating those signals into clear, actionable recommendations for content strategy, publishi</c:v>
              </c:pt>
              <c:pt idx="14">
                <c:v>A tool that processes transcripts by cleaning, theming, analyzing nuance, extracting insights, and preparing outputs for different audiences.</c:v>
              </c:pt>
              <c:pt idx="15">
                <c:v>A warm but authoritative content marketing leader and trusted advisor.</c:v>
              </c:pt>
              <c:pt idx="16">
                <c:v>Acts as a Search Excellence coach, guiding users on how to execute search according to a set of standards based on provided slides. Offers coaching, answers questions, and provides actionable feedback to help users adhere to best practices.</c:v>
              </c:pt>
              <c:pt idx="17">
                <c:v>Agent to suggest jokes, anecdotes, and amusing stories to fit a circumstance</c:v>
              </c:pt>
              <c:pt idx="18">
                <c:v>Allow user to search article on RRA Insights, creates talking points, Linkedin post and email about article</c:v>
              </c:pt>
              <c:pt idx="19">
                <c:v>An  assistant to help RRA employees understand the firmâ€™s AI Policy. Ask the GPT how to responsibly use AI tools in daily work. Use these quick start prompts below to help get you started</c:v>
              </c:pt>
              <c:pt idx="20">
                <c:v>An AI assistant that helps RRA employeesHelping RRA employees navigate AI policy with clarity and confidence.</c:v>
              </c:pt>
              <c:pt idx="21">
                <c:v>An assistant that reads invoices and instantly generates your AP submission email with the correct coding, description, and formatted template.</c:v>
              </c:pt>
              <c:pt idx="22">
                <c:v>An expert industrial psychologist who helps craft executive assessment reports.</c:v>
              </c:pt>
              <c:pt idx="23">
                <c:v>Analyzes 360Â° feedback files and produces evidence-based Strengths and Development Areas tables with full verbatim quotes.</c:v>
              </c:pt>
              <c:pt idx="24">
                <c:v>Analyzes Hogan results and produces concise leadership reports in business language.</c:v>
              </c:pt>
              <c:pt idx="25">
                <c:v>Analyzes job descriptions to assess AI task automation and generate dashboards.</c:v>
              </c:pt>
              <c:pt idx="26">
                <c:v>Analyzes job specs and outputs keyword tables with insights and search-optimized Boolean lists including importance and assessment data.</c:v>
              </c:pt>
              <c:pt idx="27">
                <c:v>Analyzes Outlook and work data to reveal leadership potential and growth paths.</c:v>
              </c:pt>
              <c:pt idx="28">
                <c:v>Analyzes trends and profiles in Fortune 500 legal and governance leadership.</c:v>
              </c:pt>
              <c:pt idx="29">
                <c:v>Answers AskRRA questions about personnel policies</c:v>
              </c:pt>
              <c:pt idx="30">
                <c:v>Assess a client and/or candidate</c:v>
              </c:pt>
              <c:pt idx="31">
                <c:v>Australian version</c:v>
              </c:pt>
              <c:pt idx="32">
                <c:v>Automates the extraction and coding of monthly stationery invoices from Automation Graphics. It reads invoice PDFs, maps each office to its correct budget code, and generates a polished email summary ready to send to Accounts Payable for payment processing</c:v>
              </c:pt>
              <c:pt idx="33">
                <c:v>Automatically cleans and elevates raw notes into client-ready documentation.</c:v>
              </c:pt>
              <c:pt idx="34">
                <c:v>Automatically translates between English and Japanese with three tone variations.</c:v>
              </c:pt>
              <c:pt idx="35">
                <c:v>Basic 150 word summary for SM comments</c:v>
              </c:pt>
              <c:pt idx="36">
                <c:v>Browse, search, and summarize your OneNote notebooks in read-only mode.  This GPT does not create, edit, or delete content and is designed for safe exploration and insights.</c:v>
              </c:pt>
              <c:pt idx="37">
                <c:v>Builds evolving internal search reports with mapped titles, insights, and company segmentation.</c:v>
              </c:pt>
              <c:pt idx="38">
                <c:v>Builds Salesforceâ€“SQL PowerShell scripts with auth, timestamped logs, and environment-based defaults.</c:v>
              </c:pt>
              <c:pt idx="39">
                <c:v>Business-savvy research assistant for finding relevant RRA projects.</c:v>
              </c:pt>
              <c:pt idx="40">
                <c:v>Caliper Analysis</c:v>
              </c:pt>
              <c:pt idx="41">
                <c:v>Candidate Content Agent</c:v>
              </c:pt>
              <c:pt idx="42">
                <c:v>Candidate Report Writer</c:v>
              </c:pt>
              <c:pt idx="43">
                <c:v>Capture CEO notes, follow up actions, and email a client after meeting.</c:v>
              </c:pt>
              <c:pt idx="44">
                <c:v>Classifies healthcare companies into sub-sectors with concise, factual reasoning.</c:v>
              </c:pt>
              <c:pt idx="45">
                <c:v>Cleans and polishes reference interview transcripts for executive search work.</c:v>
              </c:pt>
              <c:pt idx="46">
                <c:v>Cleans newsletters, emails, or text dumps by removing event listings, contact/masthead blocks, and sponsored content. Returns JSON with the cleaned text and a removal audit.</c:v>
              </c:pt>
              <c:pt idx="47">
                <c:v>Cleans raw notes into clear, professional documents.</c:v>
              </c:pt>
              <c:pt idx="48">
                <c:v>Cleans up and Organizes Prospect Screen Call Notes</c:v>
              </c:pt>
              <c:pt idx="49">
                <c:v>Cleans, formats, and refines executive search and interview notes for professional output.</c:v>
              </c:pt>
              <c:pt idx="50">
                <c:v>CL's in my personal style</c:v>
              </c:pt>
              <c:pt idx="51">
                <c:v>Coach that logs runs to one CSV and shows progress toward a half marathon.</c:v>
              </c:pt>
              <c:pt idx="52">
                <c:v>Compare self appraisals and feedback with WGLL for Research</c:v>
              </c:pt>
              <c:pt idx="53">
                <c:v>Compares master roster with Zoom exports to mark session attendance.</c:v>
              </c:pt>
              <c:pt idx="54">
                <c:v>Consultant Finder aims to make it dramatically easier to locate internal expertise â€” accelerating client teaming, business development, and knowledge sharing.</c:v>
              </c:pt>
              <c:pt idx="55">
                <c:v>Convert transcriptions to structured notes</c:v>
              </c:pt>
              <c:pt idx="56">
                <c:v>Corporate Structures</c:v>
              </c:pt>
              <c:pt idx="57">
                <c:v>Counts logos, extracts credentials, flags unidentified positions, outputs sorted table and CSV.</c:v>
              </c:pt>
              <c:pt idx="58">
                <c:v>Crea resÃºmenes profesionales a partir de notas y enlaces de LinkedIn.</c:v>
              </c:pt>
              <c:pt idx="59">
                <c:v>Crea slides claras y estratÃ©gicas que explican la comprensiÃ³n de una situaciÃ³n.</c:v>
              </c:pt>
              <c:pt idx="60">
                <c:v>Creador de estrategias de bÃºsqueda de empresas para proyectos de research y executive search.</c:v>
              </c:pt>
              <c:pt idx="61">
                <c:v>Create a â€œTrends Redefining [Industry] and Talent Implicationsâ€ slide that connects macro forces reshaping the business to leadership and talent requirements specific to the client company. The goal is to translate external industry shifts into interna</c:v>
              </c:pt>
              <c:pt idx="62">
                <c:v>Create a CL</c:v>
              </c:pt>
              <c:pt idx="63">
                <c:v>Create a Person Get Smart Pack to quickly understand key details about an individual â€” including their background, current role, and our firmâ€™s relationship with them. To get started, simply use a prompt like: â€œCreate a Get Smart Pack on Bennett Read</c:v>
              </c:pt>
              <c:pt idx="64">
                <c:v>Create a Smart Pack with key details on an individual person â€” their background, current role, and our firm's relationship with them. You can ask this GPT to review, enhance, or simplify the content. To get started, simply use a prompt like:</c:v>
              </c:pt>
              <c:pt idx="65">
                <c:v>Create a Smart Pack with key details on any individual â€” their background, current role, and our firm's relationship with them. You can ask this GPT to review, enhance, or simplify the content. To get started, simply use a prompt like: â€œCreate a Smart </c:v>
              </c:pt>
              <c:pt idx="66">
                <c:v>Create a Smart Pack with key insights about a company â€” including financial highlights, recent news, and our firmâ€™s relationship with them. You can ask this GPT to review, enhance, or simplify the content. To get started, simply use a prompt like:</c:v>
              </c:pt>
              <c:pt idx="67">
                <c:v>Create Brand Houses aligned to our MarComms Personal Brand training</c:v>
              </c:pt>
              <c:pt idx="68">
                <c:v>Create promotional email, landing page and LinkedIn post for promotional event</c:v>
              </c:pt>
              <c:pt idx="69">
                <c:v>Creates  tables summarising candidates' company experience</c:v>
              </c:pt>
              <c:pt idx="70">
                <c:v>Creates a CL based on notes + CV</c:v>
              </c:pt>
              <c:pt idx="71">
                <c:v>Creates a summary of candidate career history</c:v>
              </c:pt>
              <c:pt idx="72">
                <c:v>Creates a summary of candidate career history (PE)</c:v>
              </c:pt>
              <c:pt idx="73">
                <c:v>Creates authentic, flexible LinkedIn posts blending AI, security, and leadership insights.</c:v>
              </c:pt>
              <c:pt idx="74">
                <c:v>Creates cohesive, anonymized case studies and flags unrelated projects.</c:v>
              </c:pt>
              <c:pt idx="75">
                <c:v>Creates compliant, polished candidate emails for recruiting.</c:v>
              </c:pt>
              <c:pt idx="76">
                <c:v>Creates concise, casual quick guides for software adoption</c:v>
              </c:pt>
              <c:pt idx="77">
                <c:v>Creates concise, client-ready executive summaries from public sources.</c:v>
              </c:pt>
              <c:pt idx="78">
                <c:v>Creates concise, structured Support Briefs for senior executives, modeled on Russell Reynolds Associatesâ€™. This GPT generates professional, fact-based summaries ready for pre-meeting briefing use.</c:v>
              </c:pt>
              <c:pt idx="79">
                <c:v>creates deeply critical and insightful, crisp candidate reports to support clients with interviewing, evaluating and comparing candidates.</c:v>
              </c:pt>
              <c:pt idx="80">
                <c:v>Creates factual, chronological candidate letters with clear $ figures and interpretive insights.</c:v>
              </c:pt>
              <c:pt idx="81">
                <c:v>Creates finalized Weekly Two Things Updates focused on top business themes from the past 7 days.</c:v>
              </c:pt>
              <c:pt idx="82">
                <c:v>Creates formal, factual candidate letters with a narrative and verifiable focus.</c:v>
              </c:pt>
              <c:pt idx="83">
                <c:v>Creates individual stock loan letters for each Managing Director</c:v>
              </c:pt>
              <c:pt idx="84">
                <c:v>Creates polished campaign assets for family enterprise advisory work.</c:v>
              </c:pt>
              <c:pt idx="85">
                <c:v>Creates polished Position Specifications for IT executive searches</c:v>
              </c:pt>
              <c:pt idx="86">
                <c:v>Creates professional career summaries written in full sentences.</c:v>
              </c:pt>
              <c:pt idx="87">
                <c:v>Creates professional leadership Position Specifications for executive search at RRA.</c:v>
              </c:pt>
              <c:pt idx="88">
                <c:v>Creates professional, fact-based Candidate Letters (CLs) for Russell Reynolds Associates.</c:v>
              </c:pt>
              <c:pt idx="89">
                <c:v>Creates short professional bio comments for NEDs</c:v>
              </c:pt>
              <c:pt idx="90">
                <c:v>Creates structured, verbatim-style executive reference reports.</c:v>
              </c:pt>
              <c:pt idx="91">
                <c:v>Creates timely, news-aligned thought leadership for advisors.</c:v>
              </c:pt>
              <c:pt idx="92">
                <c:v>Cross references WGLL with collated feedback</c:v>
              </c:pt>
              <c:pt idx="93">
                <c:v>daily</c:v>
              </c:pt>
              <c:pt idx="94">
                <c:v>Default email processing behavior and warmth calibration applied. Automatically detects, analyzes, and rewrites pasted emails with professional warmth, clarity, and directness.</c:v>
              </c:pt>
              <c:pt idx="95">
                <c:v>deliver deterministic, auditable credit allocation recommendations for winning business, using a rules first approach</c:v>
              </c:pt>
              <c:pt idx="96">
                <c:v>Delivers daily organization and leadership news briefs for select clients.</c:v>
              </c:pt>
              <c:pt idx="97">
                <c:v>Designs evidence-based, inclusive learning programs for leadership advisory professionals.</c:v>
              </c:pt>
              <c:pt idx="98">
                <c:v>Development chats</c:v>
              </c:pt>
              <c:pt idx="99">
                <c:v>Dig the web</c:v>
              </c:pt>
              <c:pt idx="100">
                <c:v>Drafts clear, professional Position Specification content for executive search.</c:v>
              </c:pt>
              <c:pt idx="101">
                <c:v>Drafts concise, factual 3â€“4 paragraph career highlights using only provided facts.</c:v>
              </c:pt>
              <c:pt idx="102">
                <c:v>Drafts invoice and follow-up emails using Pamâ€™s exact phrasing and tone.</c:v>
              </c:pt>
              <c:pt idx="103">
                <c:v>Easily check if your article, slides (PDF), whitepaper or internal documents complies with the RRA style guide. Simply attach the draft or copy/paste the text into the GPT. Use these Quick Start chats below to get started.</c:v>
              </c:pt>
              <c:pt idx="104">
                <c:v>Elite strategist who explains and analyzes healthcare companies and industry terms.</c:v>
              </c:pt>
              <c:pt idx="105">
                <c:v>Email marketer</c:v>
              </c:pt>
              <c:pt idx="106">
                <c:v>Erstellt Candidate Letters im RRA-Stil auf Basis eines Master Samples und spezifischen Contents.</c:v>
              </c:pt>
              <c:pt idx="107">
                <c:v>Evaluates FYF progress, metrics, and feedback to craft next-year goals.</c:v>
              </c:pt>
              <c:pt idx="108">
                <c:v>Expert content editor that scores and optimizes executive-level digital content for impact and SEO.</c:v>
              </c:pt>
              <c:pt idx="109">
                <c:v>Expert content marketer crafting leadership development articles for executives.</c:v>
              </c:pt>
              <c:pt idx="110">
                <c:v>Expert data journalist analyzing and explaining CEO turnover trends.</c:v>
              </c:pt>
              <c:pt idx="111">
                <c:v>Expert global content marketing manager for executive audiences.</c:v>
              </c:pt>
              <c:pt idx="112">
                <c:v>Expert in designing roles with clear performance milestones and ideal profiles.</c:v>
              </c:pt>
              <c:pt idx="113">
                <c:v>Expert organization designer specializing in clarifying critical role challenges.</c:v>
              </c:pt>
              <c:pt idx="114">
                <c:v>Expert performance review GPT for managers.  Before using this GPT, managers should reference their notes and the documents downloaded from the â€œStakeholder Feedbackâ€ section in the employeeâ€™s YE appraisal.</c:v>
              </c:pt>
              <c:pt idx="115">
                <c:v>Expert performance review GPT for managers. Before using this GPT, managers should reference their notes and the documents downloaded from the â€œStakeholder Feedbackâ€ section in the employeeâ€™s YE appraisal.</c:v>
              </c:pt>
              <c:pt idx="116">
                <c:v>Extracts companies and roles from Excel, PPT, and screenshots, includes a secondary 'check-on-insight' table for PPT-only items.</c:v>
              </c:pt>
              <c:pt idx="117">
                <c:v>Extracts CPP data from reports then writes a summary</c:v>
              </c:pt>
              <c:pt idx="118">
                <c:v>Extracts metrics from Excel and updates PowerPoints.</c:v>
              </c:pt>
              <c:pt idx="119">
                <c:v>Fetch information from a Genie space about Santa's reindeer</c:v>
              </c:pt>
              <c:pt idx="120">
                <c:v>Finds Vijuraj Eranazhathâ€™s in-person client meetings with city tags</c:v>
              </c:pt>
              <c:pt idx="121">
                <c:v>Fix JSON formats</c:v>
              </c:pt>
              <c:pt idx="122">
                <c:v>For all references</c:v>
              </c:pt>
              <c:pt idx="123">
                <c:v>For generating Growth Factors + Potential Realization bullets in RRA slide-ready style</c:v>
              </c:pt>
              <c:pt idx="124">
                <c:v>Formats pasted news into clean, precise summaries in plain text with lines between entries.</c:v>
              </c:pt>
              <c:pt idx="125">
                <c:v>Formuliert gesprochene Inputs zu fertigen Nachrichten mit passendem Ton, Formatierung und Kontextbezug.</c:v>
              </c:pt>
              <c:pt idx="126">
                <c:v>Friendly assistant guiding new hires through their first 90 days.</c:v>
              </c:pt>
              <c:pt idx="127">
                <c:v>Generate a set of RRA Psych Only Assessment Slides based on the following files: hogan report, opq report</c:v>
              </c:pt>
              <c:pt idx="128">
                <c:v>Generate effective Custom GPT instructions</c:v>
              </c:pt>
              <c:pt idx="129">
                <c:v>Generate Monthly Variance Report - created by Amay Kothari</c:v>
              </c:pt>
              <c:pt idx="130">
                <c:v>Generates a Monthly Variance Analysis Report for CompanyA based on financial data</c:v>
              </c:pt>
              <c:pt idx="131">
                <c:v>Generates a Monthly Variance Analysis Report for Russell Reynolds based on financial data</c:v>
              </c:pt>
              <c:pt idx="132">
                <c:v>Generates all Leadership Lounge episode promotional content, including nurture emails.</c:v>
              </c:pt>
              <c:pt idx="133">
                <c:v>Generates and prioritizes RRA-style user stories with annotated mockups based on feedback, problems, or media.</c:v>
              </c:pt>
              <c:pt idx="134">
                <c:v>Generates concise, verified company descriptions with key stats in a consistent, report-ready format.</c:v>
              </c:pt>
              <c:pt idx="135">
                <c:v>Generates structured, factual candidate letters in RRA format with tone matching the Anuj Gaggar template.</c:v>
              </c:pt>
              <c:pt idx="136">
                <c:v>Generates structured, factual candidate letters in RRA format with tone matching the Mayo Pujols template.</c:v>
              </c:pt>
              <c:pt idx="137">
                <c:v>Get answers to questions about our Client Feedback. Ask by Consultant, Client, Industry, Office, Service Line, and time-period. NOTE: Data is limited by project membership and leadership roles. You can only ask questions over data you have access to.</c:v>
              </c:pt>
              <c:pt idx="138">
                <c:v>Get CEO candidates on a specific assignment ID</c:v>
              </c:pt>
              <c:pt idx="139">
                <c:v>Get information from a Sharepoint Online Site</c:v>
              </c:pt>
              <c:pt idx="140">
                <c:v>Gets a greeting from a mcp server</c:v>
              </c:pt>
              <c:pt idx="141">
                <c:v>Given a set of GPT instructions (prompt) and an issue, explain how it might be solved and suggest new instructions</c:v>
              </c:pt>
              <c:pt idx="142">
                <c:v>Gives a daily summary of outstanding tasks on first use each day.</c:v>
              </c:pt>
              <c:pt idx="143">
                <c:v>Global CEO Turnover Index Report Writer</c:v>
              </c:pt>
              <c:pt idx="144">
                <c:v>GPT for answering AskRRA questions</c:v>
              </c:pt>
              <c:pt idx="145">
                <c:v>GPT helps synthesize candidate experiences into highlights for status updates.</c:v>
              </c:pt>
              <c:pt idx="146">
                <c:v>GPT Tester</c:v>
              </c:pt>
              <c:pt idx="147">
                <c:v>Hello! Ask me any questions you have about ChatGPT Pro and it's capabilities. You can use these Quick Start prompts below to get started.</c:v>
              </c:pt>
              <c:pt idx="148">
                <c:v>Help me produce polished and clear powerpoint slides for presentations to business stakeholders and clients</c:v>
              </c:pt>
              <c:pt idx="149">
                <c:v>help me work efficiently and smarter</c:v>
              </c:pt>
              <c:pt idx="150">
                <c:v>Helps create polished client-ready referencing documents.</c:v>
              </c:pt>
              <c:pt idx="151">
                <c:v>Helps design and define a Marketing Ops AI team member.</c:v>
              </c:pt>
              <c:pt idx="152">
                <c:v>Helps leaders craft polished, structured performance reviews using firm-approved prompts.</c:v>
              </c:pt>
              <c:pt idx="153">
                <c:v>Helps prepare structured talking points and narratives for executive-search client calls, including candidate pros/cons, differentiators, and open questions. Supports role-playing and summarizing updates for confident, business-ready delivery.</c:v>
              </c:pt>
              <c:pt idx="154">
                <c:v>Helps with cybersecurity operations, risk assessment, and threat analysis.</c:v>
              </c:pt>
              <c:pt idx="155">
                <c:v>Helps write assessment report content</c:v>
              </c:pt>
              <c:pt idx="156">
                <c:v>Helps you craft thoughtful, balanced self and peer performance reviews.</c:v>
              </c:pt>
              <c:pt idx="157">
                <c:v>Helps you with the administrative part of the DPIA</c:v>
              </c:pt>
              <c:pt idx="158">
                <c:v>Hooked up to Genie via Databricks MCP server</c:v>
              </c:pt>
              <c:pt idx="159">
                <c:v>I give a company name and you answer in the format that I can paste into a document I am building</c:v>
              </c:pt>
              <c:pt idx="160">
                <c:v>Identifies Consultant Expertise in the RRA Ecosystem</c:v>
              </c:pt>
              <c:pt idx="161">
                <c:v>Input episode title, description, video clip transcripts, and quote card text to receive all promo assets for the episode.</c:v>
              </c:pt>
              <c:pt idx="162">
                <c:v>Input: Paste in a Meeting Transcript, Agenda, and Short-Hand Notes  Output: A formatted summary of the meeting with action items, key discussion points, and next steps</c:v>
              </c:pt>
              <c:pt idx="163">
                <c:v>Instantly creates full SmartPack drafts for Karalee Close.</c:v>
              </c:pt>
              <c:pt idx="164">
                <c:v>Interactively create a Candidate Letter from documents, notes and examples</c:v>
              </c:pt>
              <c:pt idx="165">
                <c:v>Interprets assessment data and builds structured, executive-ready leadership insights.</c:v>
              </c:pt>
              <c:pt idx="166">
                <c:v>It monitors trends in job specs over time</c:v>
              </c:pt>
              <c:pt idx="167">
                <c:v>Locate and concisely summarize the key components to write my self assessment</c:v>
              </c:pt>
              <c:pt idx="168">
                <c:v>Manages emails and calendar events in Microsoft Outlook</c:v>
              </c:pt>
              <c:pt idx="169">
                <c:v>Notes for candidates one pagers for status reports</c:v>
              </c:pt>
              <c:pt idx="170">
                <c:v>One-click study mode: structured study plan, active recall and spaced-practice exercises.</c:v>
              </c:pt>
              <c:pt idx="171">
                <c:v>OneNote Connector</c:v>
              </c:pt>
              <c:pt idx="172">
                <c:v>Podcast assistant for Redefiners &amp; Leadership Loungeâ€”scripts, summaries, notes, and episode assets</c:v>
              </c:pt>
              <c:pt idx="173">
                <c:v>Podcast Script Writer Agent</c:v>
              </c:pt>
              <c:pt idx="174">
                <c:v>Polished yet personable executiveâ€‘search assistant for drafting emails.</c:v>
              </c:pt>
              <c:pt idx="175">
                <c:v>Polishes any sentence or text, providing 3 versions in idiomatic business English.</c:v>
              </c:pt>
              <c:pt idx="176">
                <c:v>Polishes corporate writing to be pithy, strategic, and on-brand with Russell Reynolds style.</c:v>
              </c:pt>
              <c:pt idx="177">
                <c:v>Polishes emails into professional business English or German in RRA style.</c:v>
              </c:pt>
              <c:pt idx="178">
                <c:v>Polishes Japanese communication for tone, fluency, and clarity.</c:v>
              </c:pt>
              <c:pt idx="179">
                <c:v>Prepares concise, factual Russell Reynoldsâ€“style candidate summaries for client packs.</c:v>
              </c:pt>
              <c:pt idx="180">
                <c:v>Produces Airbus-style executive assessment reports highlighting functional and technical expertise.</c:v>
              </c:pt>
              <c:pt idx="181">
                <c:v>Produces concise, weighted GLM insights; reports unweighted base sizes only on request.</c:v>
              </c:pt>
              <c:pt idx="182">
                <c:v>Produces formal reference reports aligned with RRA reporting standards.</c:v>
              </c:pt>
              <c:pt idx="183">
                <c:v>Produces rigorous, executive-level Experience Analysis, Key Achievements, and Functional Summary sections for Hensoldt assessment reports.</c:v>
              </c:pt>
              <c:pt idx="184">
                <c:v>Profile Search Ideas</c:v>
              </c:pt>
              <c:pt idx="185">
                <c:v>Profile Search Ideas (internally and externally)</c:v>
              </c:pt>
              <c:pt idx="186">
                <c:v>Proposes a set of meeting times for Assessments given Consultant and Assessment Targets and a set of constraints.</c:v>
              </c:pt>
              <c:pt idx="187">
                <c:v>Provides concise, structured feedback and integrates external insights into Grant Gilchristâ€™s HealthTech CEO paper.</c:v>
              </c:pt>
              <c:pt idx="188">
                <c:v>Relevant missed information from Outlook and Slack.</c:v>
              </c:pt>
              <c:pt idx="189">
                <c:v>Removes event listings, contact/masthead blocks and sponsored sections from text and returns a strict JSON audit</c:v>
              </c:pt>
              <c:pt idx="190">
                <c:v>Research analyst that builds clear, defensible target company lists.</c:v>
              </c:pt>
              <c:pt idx="191">
                <c:v>Retrieve information about company leaders from BoardEx</c:v>
              </c:pt>
              <c:pt idx="192">
                <c:v>Return email from a timeperiod for a person</c:v>
              </c:pt>
              <c:pt idx="193">
                <c:v>Review Amy Scissonsâ€™s calendar for the upcoming week and create a polished â€œAgenda Snapshotâ€ email that mirrors the reference sample provided.</c:v>
              </c:pt>
              <c:pt idx="194">
                <c:v>Routes User To GPT</c:v>
              </c:pt>
              <c:pt idx="195">
                <c:v>RRA-branded deal-prep researcher with PDF download option (UK English, investor-neutral, balanced-depth)</c:v>
              </c:pt>
              <c:pt idx="196">
                <c:v>RRA-style Word reference guide outlining the standard method for assessment tracker analysis.</c:v>
              </c:pt>
              <c:pt idx="197">
                <c:v>Secure RRA assistant with clear, professional language (no contractions).</c:v>
              </c:pt>
              <c:pt idx="198">
                <c:v>Segment candidate profiles into archetypes that can be used to identify strengths for a given role/job description</c:v>
              </c:pt>
              <c:pt idx="199">
                <c:v>Self-Appraisal GPT helps you craft thoughtful, authentic, and strategic reflections for your yearly performance review. It analyzes your past reviews, achievements, and career goals to generate clear, impactful responses that highlight your growth, contrib</c:v>
              </c:pt>
              <c:pt idx="200">
                <c:v>Send me my daily schedule, to-do list, business news headlines for the day, a daily affirmation, and a goal</c:v>
              </c:pt>
              <c:pt idx="201">
                <c:v>Short English company summaries with revenue, market cap, and ownership type in USD only.</c:v>
              </c:pt>
              <c:pt idx="202">
                <c:v>single prompts</c:v>
              </c:pt>
              <c:pt idx="203">
                <c:v>SLT Update GPT converts the inconsistent, lengthy MarComms Weekly Summary into a polished SLT Update. The model must rewrite, refine, filter for relevance, and format content exactly as specified.</c:v>
              </c:pt>
              <c:pt idx="204">
                <c:v>Software Development Advisor to help me make decisions, evaluate dev effort/timelines, and learn more about the perspective and process of software development team.</c:v>
              </c:pt>
              <c:pt idx="205">
                <c:v>Strategic and empathetic coach helping Susie strengthen influence, trust, and leadership.</c:v>
              </c:pt>
              <c:pt idx="206">
                <c:v>Streamline the onboarding process for new co-hosts of the Redefiners podcast. This agent will automatically generate three key outputs: welcome email, social media promotion, and Q&amp;A session script.</c:v>
              </c:pt>
              <c:pt idx="207">
                <c:v>Strictly enforces fuzzy role consistency and a hard max of 30 Top Cred projects, with dynamic tightening and mandatory truncation if exceeded.</c:v>
              </c:pt>
              <c:pt idx="208">
                <c:v>Summarize meeting notes with clear succinct bullets with action items, key insights, owners, deadlines, and links.</c:v>
              </c:pt>
              <c:pt idx="209">
                <c:v>Synthesizes stakeholder interview notes into structured leadership success profiles.</c:v>
              </c:pt>
              <c:pt idx="210">
                <c:v>Takes inputs from a range of client materials and interviews and populates a set template to provide a concise, structured overview for the search.</c:v>
              </c:pt>
              <c:pt idx="211">
                <c:v>Takes uploaded 360 notes and identifies themes</c:v>
              </c:pt>
              <c:pt idx="212">
                <c:v>Test</c:v>
              </c:pt>
              <c:pt idx="213">
                <c:v>test connection to apim</c:v>
              </c:pt>
              <c:pt idx="214">
                <c:v>Test out running python code embedded in a GPT</c:v>
              </c:pt>
              <c:pt idx="215">
                <c:v>testing the sync</c:v>
              </c:pt>
              <c:pt idx="216">
                <c:v>The agent will take information from a high-level gantt chart and draft an engagement letter.</c:v>
              </c:pt>
              <c:pt idx="217">
                <c:v>The Historianâ€™s Lens â€” an artificial historian who interprets modern events through the analogies, patterns, and lessons of world history.</c:v>
              </c:pt>
              <c:pt idx="218">
                <c:v>This agent creates executive-ready, multi-channel marketing assets to promote a regionally authored RRA paper or article. It translates a regional campaign brief into sophisticated, insight-led promotional content while maintaining alignment with RRAâ€™s g</c:v>
              </c:pt>
              <c:pt idx="219">
                <c:v>This agent is designed to determine the merits of external guest recommendations for Redefiners Episodes.</c:v>
              </c:pt>
              <c:pt idx="220">
                <c:v>This GPT can generate comprehensive smart pack document which will include RRA history, connections and relationships with this person and its company</c:v>
              </c:pt>
              <c:pt idx="221">
                <c:v>This GPT can help RRA teams to create a Company smart-pack.</c:v>
              </c:pt>
              <c:pt idx="222">
                <c:v>This GPT can Q&amp;A on Assignment/PNB  data</c:v>
              </c:pt>
              <c:pt idx="223">
                <c:v>This GPT finds topics in open-ended responses</c:v>
              </c:pt>
              <c:pt idx="224">
                <c:v>This GPT helps you write effective prompts</c:v>
              </c:pt>
              <c:pt idx="225">
                <c:v>This GPT is to create smartpack for a Company. These smartpack contains information about the company, its executives, RRA activity on ASN, PNB and BD, latest news, Stock analysis, SWOT Analysis</c:v>
              </c:pt>
              <c:pt idx="226">
                <c:v>This GPT reads a meeting summary and extracts the key action points for your team or department</c:v>
              </c:pt>
              <c:pt idx="227">
                <c:v>This GPT reads meeting summary and extracts the key action points for your team or department</c:v>
              </c:pt>
              <c:pt idx="228">
                <c:v>This GPT transforms a global RRA paper or article into a fully regionalized version and creates a suite of executive-ready, multi-channel marketing assets based on a detailed regional campaign brief. It ensures alignment with RRAâ€™s global brand standards</c:v>
              </c:pt>
              <c:pt idx="229">
                <c:v>This GPT will help to parse e-mail exchanges about leaves, identify relevant information, and create a summary document for data input into Workday</c:v>
              </c:pt>
              <c:pt idx="230">
                <c:v>This GPT will review RRA's Global CEO Turnover Index Data and write a report looking at the trends in 2025. The GPT will review the data, identify key themes. create questions to ask our leadership advisors, write a report outline, write the report &amp; creat</c:v>
              </c:pt>
              <c:pt idx="231">
                <c:v>This GPT will scan notes from previous meetings and project plan and take this information to draft meeting agendas.</c:v>
              </c:pt>
              <c:pt idx="232">
                <c:v>This transcribes zoom transcripts of interview notes into my format.</c:v>
              </c:pt>
              <c:pt idx="233">
                <c:v>To create reports from explanations</c:v>
              </c:pt>
              <c:pt idx="234">
                <c:v>Training a GPT to help write Executive Assessment reports, in particular the B&amp;E sections</c:v>
              </c:pt>
              <c:pt idx="235">
                <c:v>Transforms executive search call notes into clean, Excel-ready structured data lines for tracking contacts.</c:v>
              </c:pt>
              <c:pt idx="236">
                <c:v>Transforms leadership feedback into clear, empowering, growth oriented insights.</c:v>
              </c:pt>
              <c:pt idx="237">
                <c:v>Translates text</c:v>
              </c:pt>
              <c:pt idx="238">
                <c:v>Trusted advisor and storyteller crafting authentic, strategic pitch intros.</c:v>
              </c:pt>
              <c:pt idx="239">
                <c:v>Trusted comms advisor focused on strategy and audience engagement.</c:v>
              </c:pt>
              <c:pt idx="240">
                <c:v>Turns recruiter reference notes into polished, client-ready summaries with JC example tone.</c:v>
              </c:pt>
              <c:pt idx="241">
                <c:v>Turns rough client call notes into structured summaries with bullet-style themes and feedback.</c:v>
              </c:pt>
              <c:pt idx="242">
                <c:v>Upload a CV to instantly generate a crisp, 300-word leadership career summary with facts, impact, and narrative flow.</c:v>
              </c:pt>
              <c:pt idx="243">
                <c:v>Upload Excel File for analysis and set date range.</c:v>
              </c:pt>
              <c:pt idx="244">
                <c:v>Upload Post Close excel and say "Generate the Firm Services email from the attached workbook and return the final email body"</c:v>
              </c:pt>
              <c:pt idx="245">
                <c:v>Upload the latest Global Variance excel and instruct the GPT to "Please run the report"</c:v>
              </c:pt>
              <c:pt idx="246">
                <c:v>Use this GPT to detect if content is AI Generated. Paste in an email, article or communication and the GPT will score the likelihood that it is AI Generated.</c:v>
              </c:pt>
              <c:pt idx="247">
                <c:v>Use this GPT to get data ready for analysis and report production.</c:v>
              </c:pt>
              <c:pt idx="248">
                <c:v>Uses RRA CAPstone models including CCE, Talent Gap, PESTLE, Pyramid, and Outcomeâ€“Intent framing.</c:v>
              </c:pt>
              <c:pt idx="249">
                <c:v>Uses the Client Summary &amp; Outreach Template to deliver adaptive client updates and personalized follow-ups.</c:v>
              </c:pt>
              <c:pt idx="250">
                <c:v>Uses transcript to summarize initial interview</c:v>
              </c:pt>
              <c:pt idx="251">
                <c:v>Verifies company links and PE/VC backing using concise, factual summaries.</c:v>
              </c:pt>
              <c:pt idx="252">
                <c:v>Welcome to RRA ChatGPT Pro!  Work with the Prompt Coach to build prompt engineering skill and confidence through short, role-specific exercises. Dive in, stay curious, and discover what you and ChatGPT Pro can do together!</c:v>
              </c:pt>
              <c:pt idx="253">
                <c:v>Write a first draft of Constantine's YE appraisals based on various pieces of input.</c:v>
              </c:pt>
              <c:pt idx="254">
                <c:v>write a reviews based on your writing style and tone</c:v>
              </c:pt>
              <c:pt idx="255">
                <c:v>Write an executive bio of this individual in bullets. Keep it factual/concise.</c:v>
              </c:pt>
              <c:pt idx="256">
                <c:v>Write concise - insightful leadership assessment reports for c-suite leaders. Some are candidates some are in place but these insights will inform big people decisions. we re helping clients understand the DNA of the leader, what makes the leader they are </c:v>
              </c:pt>
              <c:pt idx="257">
                <c:v>write exec level emails</c:v>
              </c:pt>
              <c:pt idx="258">
                <c:v>Writes and refines social copy in the Russell Reynolds Associates brand voice.</c:v>
              </c:pt>
              <c:pt idx="259">
                <c:v>Writes authentic, story-driven LinkedIn posts in Clarke Murphyâ€™s human, reflective voice.</c:v>
              </c:pt>
              <c:pt idx="260">
                <c:v>Writes balanced, tailored Regal Rexnord candidate letters.</c:v>
              </c:pt>
              <c:pt idx="261">
                <c:v>Writes candidate reports</c:v>
              </c:pt>
              <c:pt idx="262">
                <c:v>Writes compelling executive position specifications</c:v>
              </c:pt>
              <c:pt idx="263">
                <c:v>Writes executive-style candidate letters following a structured three-part evaluation framework.</c:v>
              </c:pt>
              <c:pt idx="264">
                <c:v>Writes structured, objective candidate reports based on CVs and interviews for senior executive search.</c:v>
              </c:pt>
              <c:pt idx="265">
                <c:v>You are a Lead Developer and Technical Coach helping a non-technical Product Manager who designs internal tools and business applications at a consulting firm.</c:v>
              </c:pt>
              <c:pt idx="266">
                <c:v>You are a smart lead assignment assistant for a marketing team. Your job is to evaluate incoming marketing leads and assign them to the most appropriate RRA colleague.</c:v>
              </c:pt>
              <c:pt idx="267">
                <c:v>You are a succession and governance advisor that provides concise, trusted insights on CEO succession and Board governance-related topics.</c:v>
              </c:pt>
              <c:pt idx="268">
                <c:v>You are a supportive technical lead and coach who helps a non-technical product manager reason through technical decisions, design tradeoffs, and implementation options.</c:v>
              </c:pt>
              <c:pt idx="269">
                <c:v>You are an executive briefing assistant that prepares consistent, reliable â€œMeeting Smart Packs". Your purpose is to prepare concise, credible, and well-structured briefings for meetings with senior executives.</c:v>
              </c:pt>
              <c:pt idx="270">
                <c:v>You are an industry trend advisor that provides concise, high-impact industry and leadership insights.</c:v>
              </c:pt>
              <c:pt idx="271">
                <c:v>Your firm but witty Marshall Goldsmithâ€“style coach with structured accountability and creative growth exercises.</c:v>
              </c:pt>
              <c:pt idx="272">
                <c:v>Your intelligent assistant for discovering the most relevant RRA project credentials for your task at hand.</c:v>
              </c:pt>
              <c:pt idx="273">
                <c:v>Your LinkedIn writing partner for Russell Reynolds Associates. This GPT helps consultants transform their insights, experiences, and content into authentic, on-brand LinkedIn posts that reflect their unique voice while aligning with the firmâ€™s personal b</c:v>
              </c:pt>
              <c:pt idx="274">
                <c:v>(blank)</c:v>
              </c:pt>
            </c:strLit>
          </c:cat>
          <c:val>
            <c:numLit>
              <c:formatCode>General</c:formatCode>
              <c:ptCount val="275"/>
              <c:pt idx="0">
                <c:v>2</c:v>
              </c:pt>
              <c:pt idx="1">
                <c:v>0</c:v>
              </c:pt>
              <c:pt idx="2">
                <c:v>3</c:v>
              </c:pt>
              <c:pt idx="3">
                <c:v>11</c:v>
              </c:pt>
              <c:pt idx="4">
                <c:v>0</c:v>
              </c:pt>
              <c:pt idx="5">
                <c:v>280</c:v>
              </c:pt>
              <c:pt idx="6">
                <c:v>0</c:v>
              </c:pt>
              <c:pt idx="7">
                <c:v>0</c:v>
              </c:pt>
              <c:pt idx="8">
                <c:v>12</c:v>
              </c:pt>
              <c:pt idx="9">
                <c:v>0</c:v>
              </c:pt>
              <c:pt idx="10">
                <c:v>0</c:v>
              </c:pt>
              <c:pt idx="11">
                <c:v>18</c:v>
              </c:pt>
              <c:pt idx="12">
                <c:v>80</c:v>
              </c:pt>
              <c:pt idx="13">
                <c:v>5</c:v>
              </c:pt>
              <c:pt idx="14">
                <c:v>87</c:v>
              </c:pt>
              <c:pt idx="15">
                <c:v>94</c:v>
              </c:pt>
              <c:pt idx="16">
                <c:v>0</c:v>
              </c:pt>
              <c:pt idx="17">
                <c:v>0</c:v>
              </c:pt>
              <c:pt idx="18">
                <c:v>8</c:v>
              </c:pt>
              <c:pt idx="19">
                <c:v>0</c:v>
              </c:pt>
              <c:pt idx="20">
                <c:v>0</c:v>
              </c:pt>
              <c:pt idx="21">
                <c:v>23</c:v>
              </c:pt>
              <c:pt idx="22">
                <c:v>0</c:v>
              </c:pt>
              <c:pt idx="23">
                <c:v>0</c:v>
              </c:pt>
              <c:pt idx="24">
                <c:v>9</c:v>
              </c:pt>
              <c:pt idx="25">
                <c:v>5</c:v>
              </c:pt>
              <c:pt idx="26">
                <c:v>0</c:v>
              </c:pt>
              <c:pt idx="27">
                <c:v>0</c:v>
              </c:pt>
              <c:pt idx="28">
                <c:v>8</c:v>
              </c:pt>
              <c:pt idx="29">
                <c:v>0</c:v>
              </c:pt>
              <c:pt idx="30">
                <c:v>44</c:v>
              </c:pt>
              <c:pt idx="31">
                <c:v>0</c:v>
              </c:pt>
              <c:pt idx="32">
                <c:v>3</c:v>
              </c:pt>
              <c:pt idx="33">
                <c:v>7</c:v>
              </c:pt>
              <c:pt idx="34">
                <c:v>35</c:v>
              </c:pt>
              <c:pt idx="35">
                <c:v>0</c:v>
              </c:pt>
              <c:pt idx="36">
                <c:v>67</c:v>
              </c:pt>
              <c:pt idx="37">
                <c:v>0</c:v>
              </c:pt>
              <c:pt idx="38">
                <c:v>93</c:v>
              </c:pt>
              <c:pt idx="39">
                <c:v>0</c:v>
              </c:pt>
              <c:pt idx="40">
                <c:v>8</c:v>
              </c:pt>
              <c:pt idx="41">
                <c:v>154</c:v>
              </c:pt>
              <c:pt idx="42">
                <c:v>7</c:v>
              </c:pt>
              <c:pt idx="43">
                <c:v>0</c:v>
              </c:pt>
              <c:pt idx="44">
                <c:v>36</c:v>
              </c:pt>
              <c:pt idx="45">
                <c:v>0</c:v>
              </c:pt>
              <c:pt idx="46">
                <c:v>0</c:v>
              </c:pt>
              <c:pt idx="47">
                <c:v>12</c:v>
              </c:pt>
              <c:pt idx="48">
                <c:v>7</c:v>
              </c:pt>
              <c:pt idx="49">
                <c:v>0</c:v>
              </c:pt>
              <c:pt idx="50">
                <c:v>0</c:v>
              </c:pt>
              <c:pt idx="51">
                <c:v>112</c:v>
              </c:pt>
              <c:pt idx="52">
                <c:v>8</c:v>
              </c:pt>
              <c:pt idx="53">
                <c:v>0</c:v>
              </c:pt>
              <c:pt idx="54">
                <c:v>31</c:v>
              </c:pt>
              <c:pt idx="55">
                <c:v>24</c:v>
              </c:pt>
              <c:pt idx="56">
                <c:v>0</c:v>
              </c:pt>
              <c:pt idx="57">
                <c:v>4</c:v>
              </c:pt>
              <c:pt idx="58">
                <c:v>118</c:v>
              </c:pt>
              <c:pt idx="59">
                <c:v>33</c:v>
              </c:pt>
              <c:pt idx="60">
                <c:v>12</c:v>
              </c:pt>
              <c:pt idx="61">
                <c:v>6</c:v>
              </c:pt>
              <c:pt idx="62">
                <c:v>0</c:v>
              </c:pt>
              <c:pt idx="63">
                <c:v>0</c:v>
              </c:pt>
              <c:pt idx="64">
                <c:v>1606</c:v>
              </c:pt>
              <c:pt idx="65">
                <c:v>0</c:v>
              </c:pt>
              <c:pt idx="66">
                <c:v>1808</c:v>
              </c:pt>
              <c:pt idx="67">
                <c:v>1</c:v>
              </c:pt>
              <c:pt idx="68">
                <c:v>7</c:v>
              </c:pt>
              <c:pt idx="69">
                <c:v>5</c:v>
              </c:pt>
              <c:pt idx="70">
                <c:v>62</c:v>
              </c:pt>
              <c:pt idx="71">
                <c:v>36</c:v>
              </c:pt>
              <c:pt idx="72">
                <c:v>2</c:v>
              </c:pt>
              <c:pt idx="73">
                <c:v>0</c:v>
              </c:pt>
              <c:pt idx="74">
                <c:v>18</c:v>
              </c:pt>
              <c:pt idx="75">
                <c:v>0</c:v>
              </c:pt>
              <c:pt idx="76">
                <c:v>0</c:v>
              </c:pt>
              <c:pt idx="77">
                <c:v>3</c:v>
              </c:pt>
              <c:pt idx="78">
                <c:v>0</c:v>
              </c:pt>
              <c:pt idx="79">
                <c:v>50</c:v>
              </c:pt>
              <c:pt idx="80">
                <c:v>113</c:v>
              </c:pt>
              <c:pt idx="81">
                <c:v>0</c:v>
              </c:pt>
              <c:pt idx="82">
                <c:v>40</c:v>
              </c:pt>
              <c:pt idx="83">
                <c:v>0</c:v>
              </c:pt>
              <c:pt idx="84">
                <c:v>0</c:v>
              </c:pt>
              <c:pt idx="85">
                <c:v>0</c:v>
              </c:pt>
              <c:pt idx="86">
                <c:v>37</c:v>
              </c:pt>
              <c:pt idx="87">
                <c:v>0</c:v>
              </c:pt>
              <c:pt idx="88">
                <c:v>9</c:v>
              </c:pt>
              <c:pt idx="89">
                <c:v>0</c:v>
              </c:pt>
              <c:pt idx="90">
                <c:v>30</c:v>
              </c:pt>
              <c:pt idx="91">
                <c:v>0</c:v>
              </c:pt>
              <c:pt idx="92">
                <c:v>0</c:v>
              </c:pt>
              <c:pt idx="93">
                <c:v>0</c:v>
              </c:pt>
              <c:pt idx="94">
                <c:v>8</c:v>
              </c:pt>
              <c:pt idx="95">
                <c:v>0</c:v>
              </c:pt>
              <c:pt idx="96">
                <c:v>23</c:v>
              </c:pt>
              <c:pt idx="97">
                <c:v>5</c:v>
              </c:pt>
              <c:pt idx="98">
                <c:v>0</c:v>
              </c:pt>
              <c:pt idx="99">
                <c:v>378</c:v>
              </c:pt>
              <c:pt idx="100">
                <c:v>2</c:v>
              </c:pt>
              <c:pt idx="101">
                <c:v>261</c:v>
              </c:pt>
              <c:pt idx="102">
                <c:v>0</c:v>
              </c:pt>
              <c:pt idx="103">
                <c:v>2</c:v>
              </c:pt>
              <c:pt idx="104">
                <c:v>43</c:v>
              </c:pt>
              <c:pt idx="105">
                <c:v>1</c:v>
              </c:pt>
              <c:pt idx="106">
                <c:v>15</c:v>
              </c:pt>
              <c:pt idx="107">
                <c:v>0</c:v>
              </c:pt>
              <c:pt idx="108">
                <c:v>0</c:v>
              </c:pt>
              <c:pt idx="109">
                <c:v>0</c:v>
              </c:pt>
              <c:pt idx="110">
                <c:v>0</c:v>
              </c:pt>
              <c:pt idx="111">
                <c:v>0</c:v>
              </c:pt>
              <c:pt idx="112">
                <c:v>302</c:v>
              </c:pt>
              <c:pt idx="113">
                <c:v>214</c:v>
              </c:pt>
              <c:pt idx="114">
                <c:v>0</c:v>
              </c:pt>
              <c:pt idx="115">
                <c:v>124</c:v>
              </c:pt>
              <c:pt idx="116">
                <c:v>0</c:v>
              </c:pt>
              <c:pt idx="117">
                <c:v>62</c:v>
              </c:pt>
              <c:pt idx="118">
                <c:v>12</c:v>
              </c:pt>
              <c:pt idx="119">
                <c:v>1</c:v>
              </c:pt>
              <c:pt idx="120">
                <c:v>0</c:v>
              </c:pt>
              <c:pt idx="121">
                <c:v>2</c:v>
              </c:pt>
              <c:pt idx="122">
                <c:v>0</c:v>
              </c:pt>
              <c:pt idx="123">
                <c:v>0</c:v>
              </c:pt>
              <c:pt idx="124">
                <c:v>0</c:v>
              </c:pt>
              <c:pt idx="125">
                <c:v>0</c:v>
              </c:pt>
              <c:pt idx="126">
                <c:v>11</c:v>
              </c:pt>
              <c:pt idx="127">
                <c:v>277</c:v>
              </c:pt>
              <c:pt idx="128">
                <c:v>0</c:v>
              </c:pt>
              <c:pt idx="129">
                <c:v>0</c:v>
              </c:pt>
              <c:pt idx="130">
                <c:v>0</c:v>
              </c:pt>
              <c:pt idx="131">
                <c:v>0</c:v>
              </c:pt>
              <c:pt idx="132">
                <c:v>4</c:v>
              </c:pt>
              <c:pt idx="133">
                <c:v>0</c:v>
              </c:pt>
              <c:pt idx="134">
                <c:v>0</c:v>
              </c:pt>
              <c:pt idx="135">
                <c:v>3</c:v>
              </c:pt>
              <c:pt idx="136">
                <c:v>21</c:v>
              </c:pt>
              <c:pt idx="137">
                <c:v>93</c:v>
              </c:pt>
              <c:pt idx="138">
                <c:v>0</c:v>
              </c:pt>
              <c:pt idx="139">
                <c:v>0</c:v>
              </c:pt>
              <c:pt idx="140">
                <c:v>0</c:v>
              </c:pt>
              <c:pt idx="141">
                <c:v>0</c:v>
              </c:pt>
              <c:pt idx="142">
                <c:v>0</c:v>
              </c:pt>
              <c:pt idx="143">
                <c:v>9</c:v>
              </c:pt>
              <c:pt idx="144">
                <c:v>0</c:v>
              </c:pt>
              <c:pt idx="145">
                <c:v>69</c:v>
              </c:pt>
              <c:pt idx="146">
                <c:v>96</c:v>
              </c:pt>
              <c:pt idx="147">
                <c:v>39</c:v>
              </c:pt>
              <c:pt idx="148">
                <c:v>0</c:v>
              </c:pt>
              <c:pt idx="149">
                <c:v>0</c:v>
              </c:pt>
              <c:pt idx="150">
                <c:v>12</c:v>
              </c:pt>
              <c:pt idx="151">
                <c:v>0</c:v>
              </c:pt>
              <c:pt idx="152">
                <c:v>35</c:v>
              </c:pt>
              <c:pt idx="153">
                <c:v>33</c:v>
              </c:pt>
              <c:pt idx="154">
                <c:v>0</c:v>
              </c:pt>
              <c:pt idx="155">
                <c:v>1</c:v>
              </c:pt>
              <c:pt idx="156">
                <c:v>0</c:v>
              </c:pt>
              <c:pt idx="157">
                <c:v>0</c:v>
              </c:pt>
              <c:pt idx="158">
                <c:v>0</c:v>
              </c:pt>
              <c:pt idx="159">
                <c:v>14</c:v>
              </c:pt>
              <c:pt idx="160">
                <c:v>0</c:v>
              </c:pt>
              <c:pt idx="161">
                <c:v>14</c:v>
              </c:pt>
              <c:pt idx="162">
                <c:v>31</c:v>
              </c:pt>
              <c:pt idx="163">
                <c:v>4</c:v>
              </c:pt>
              <c:pt idx="164">
                <c:v>2810</c:v>
              </c:pt>
              <c:pt idx="165">
                <c:v>4</c:v>
              </c:pt>
              <c:pt idx="166">
                <c:v>0</c:v>
              </c:pt>
              <c:pt idx="167">
                <c:v>0</c:v>
              </c:pt>
              <c:pt idx="168">
                <c:v>0</c:v>
              </c:pt>
              <c:pt idx="169">
                <c:v>14</c:v>
              </c:pt>
              <c:pt idx="170">
                <c:v>0</c:v>
              </c:pt>
              <c:pt idx="171">
                <c:v>3</c:v>
              </c:pt>
              <c:pt idx="172">
                <c:v>0</c:v>
              </c:pt>
              <c:pt idx="173">
                <c:v>6</c:v>
              </c:pt>
              <c:pt idx="174">
                <c:v>18</c:v>
              </c:pt>
              <c:pt idx="175">
                <c:v>30</c:v>
              </c:pt>
              <c:pt idx="176">
                <c:v>0</c:v>
              </c:pt>
              <c:pt idx="177">
                <c:v>368</c:v>
              </c:pt>
              <c:pt idx="178">
                <c:v>2</c:v>
              </c:pt>
              <c:pt idx="179">
                <c:v>18</c:v>
              </c:pt>
              <c:pt idx="180">
                <c:v>10</c:v>
              </c:pt>
              <c:pt idx="181">
                <c:v>63</c:v>
              </c:pt>
              <c:pt idx="182">
                <c:v>0</c:v>
              </c:pt>
              <c:pt idx="183">
                <c:v>0</c:v>
              </c:pt>
              <c:pt idx="184">
                <c:v>0</c:v>
              </c:pt>
              <c:pt idx="185">
                <c:v>0</c:v>
              </c:pt>
              <c:pt idx="186">
                <c:v>0</c:v>
              </c:pt>
              <c:pt idx="187">
                <c:v>45</c:v>
              </c:pt>
              <c:pt idx="188">
                <c:v>0</c:v>
              </c:pt>
              <c:pt idx="189">
                <c:v>0</c:v>
              </c:pt>
              <c:pt idx="190">
                <c:v>8</c:v>
              </c:pt>
              <c:pt idx="191">
                <c:v>0</c:v>
              </c:pt>
              <c:pt idx="192">
                <c:v>0</c:v>
              </c:pt>
              <c:pt idx="193">
                <c:v>9</c:v>
              </c:pt>
              <c:pt idx="194">
                <c:v>9</c:v>
              </c:pt>
              <c:pt idx="195">
                <c:v>25</c:v>
              </c:pt>
              <c:pt idx="196">
                <c:v>0</c:v>
              </c:pt>
              <c:pt idx="197">
                <c:v>40</c:v>
              </c:pt>
              <c:pt idx="198">
                <c:v>22</c:v>
              </c:pt>
              <c:pt idx="199">
                <c:v>4</c:v>
              </c:pt>
              <c:pt idx="200">
                <c:v>2</c:v>
              </c:pt>
              <c:pt idx="201">
                <c:v>18</c:v>
              </c:pt>
              <c:pt idx="202">
                <c:v>0</c:v>
              </c:pt>
              <c:pt idx="203">
                <c:v>6</c:v>
              </c:pt>
              <c:pt idx="204">
                <c:v>0</c:v>
              </c:pt>
              <c:pt idx="205">
                <c:v>60</c:v>
              </c:pt>
              <c:pt idx="206">
                <c:v>0</c:v>
              </c:pt>
              <c:pt idx="207">
                <c:v>0</c:v>
              </c:pt>
              <c:pt idx="208">
                <c:v>40</c:v>
              </c:pt>
              <c:pt idx="209">
                <c:v>0</c:v>
              </c:pt>
              <c:pt idx="210">
                <c:v>3</c:v>
              </c:pt>
              <c:pt idx="211">
                <c:v>0</c:v>
              </c:pt>
              <c:pt idx="212">
                <c:v>0</c:v>
              </c:pt>
              <c:pt idx="213">
                <c:v>0</c:v>
              </c:pt>
              <c:pt idx="214">
                <c:v>0</c:v>
              </c:pt>
              <c:pt idx="215">
                <c:v>0</c:v>
              </c:pt>
              <c:pt idx="216">
                <c:v>0</c:v>
              </c:pt>
              <c:pt idx="217">
                <c:v>7</c:v>
              </c:pt>
              <c:pt idx="218">
                <c:v>3</c:v>
              </c:pt>
              <c:pt idx="219">
                <c:v>0</c:v>
              </c:pt>
              <c:pt idx="220">
                <c:v>578</c:v>
              </c:pt>
              <c:pt idx="221">
                <c:v>417</c:v>
              </c:pt>
              <c:pt idx="222">
                <c:v>0</c:v>
              </c:pt>
              <c:pt idx="223">
                <c:v>0</c:v>
              </c:pt>
              <c:pt idx="224">
                <c:v>107</c:v>
              </c:pt>
              <c:pt idx="225">
                <c:v>0</c:v>
              </c:pt>
              <c:pt idx="226">
                <c:v>1</c:v>
              </c:pt>
              <c:pt idx="227">
                <c:v>0</c:v>
              </c:pt>
              <c:pt idx="228">
                <c:v>0</c:v>
              </c:pt>
              <c:pt idx="229">
                <c:v>2</c:v>
              </c:pt>
              <c:pt idx="230">
                <c:v>0</c:v>
              </c:pt>
              <c:pt idx="231">
                <c:v>0</c:v>
              </c:pt>
              <c:pt idx="232">
                <c:v>2</c:v>
              </c:pt>
              <c:pt idx="233">
                <c:v>3</c:v>
              </c:pt>
              <c:pt idx="234">
                <c:v>11</c:v>
              </c:pt>
              <c:pt idx="235">
                <c:v>39</c:v>
              </c:pt>
              <c:pt idx="236">
                <c:v>0</c:v>
              </c:pt>
              <c:pt idx="237">
                <c:v>0</c:v>
              </c:pt>
              <c:pt idx="238">
                <c:v>0</c:v>
              </c:pt>
              <c:pt idx="239">
                <c:v>0</c:v>
              </c:pt>
              <c:pt idx="240">
                <c:v>5</c:v>
              </c:pt>
              <c:pt idx="241">
                <c:v>17</c:v>
              </c:pt>
              <c:pt idx="242">
                <c:v>4</c:v>
              </c:pt>
              <c:pt idx="243">
                <c:v>41</c:v>
              </c:pt>
              <c:pt idx="244">
                <c:v>238</c:v>
              </c:pt>
              <c:pt idx="245">
                <c:v>49</c:v>
              </c:pt>
              <c:pt idx="246">
                <c:v>97</c:v>
              </c:pt>
              <c:pt idx="247">
                <c:v>7</c:v>
              </c:pt>
              <c:pt idx="248">
                <c:v>0</c:v>
              </c:pt>
              <c:pt idx="249">
                <c:v>0</c:v>
              </c:pt>
              <c:pt idx="250">
                <c:v>2</c:v>
              </c:pt>
              <c:pt idx="251">
                <c:v>0</c:v>
              </c:pt>
              <c:pt idx="252">
                <c:v>636</c:v>
              </c:pt>
              <c:pt idx="253">
                <c:v>16</c:v>
              </c:pt>
              <c:pt idx="254">
                <c:v>0</c:v>
              </c:pt>
              <c:pt idx="255">
                <c:v>56</c:v>
              </c:pt>
              <c:pt idx="256">
                <c:v>48</c:v>
              </c:pt>
              <c:pt idx="257">
                <c:v>0</c:v>
              </c:pt>
              <c:pt idx="258">
                <c:v>50</c:v>
              </c:pt>
              <c:pt idx="259">
                <c:v>29</c:v>
              </c:pt>
              <c:pt idx="260">
                <c:v>37</c:v>
              </c:pt>
              <c:pt idx="261">
                <c:v>87</c:v>
              </c:pt>
              <c:pt idx="262">
                <c:v>10</c:v>
              </c:pt>
              <c:pt idx="263">
                <c:v>21</c:v>
              </c:pt>
              <c:pt idx="264">
                <c:v>71</c:v>
              </c:pt>
              <c:pt idx="265">
                <c:v>0</c:v>
              </c:pt>
              <c:pt idx="266">
                <c:v>0</c:v>
              </c:pt>
              <c:pt idx="267">
                <c:v>1</c:v>
              </c:pt>
              <c:pt idx="268">
                <c:v>0</c:v>
              </c:pt>
              <c:pt idx="269">
                <c:v>3</c:v>
              </c:pt>
              <c:pt idx="270">
                <c:v>4</c:v>
              </c:pt>
              <c:pt idx="271">
                <c:v>0</c:v>
              </c:pt>
              <c:pt idx="272">
                <c:v>0</c:v>
              </c:pt>
              <c:pt idx="273">
                <c:v>0</c:v>
              </c:pt>
              <c:pt idx="274">
                <c:v>1128</c:v>
              </c:pt>
            </c:numLit>
          </c:val>
          <c:extLst>
            <c:ext xmlns:c16="http://schemas.microsoft.com/office/drawing/2014/chart" uri="{C3380CC4-5D6E-409C-BE32-E72D297353CC}">
              <c16:uniqueId val="{00000001-22F6-4252-BA36-06C867324A2A}"/>
            </c:ext>
          </c:extLst>
        </c:ser>
        <c:dLbls>
          <c:showLegendKey val="0"/>
          <c:showVal val="0"/>
          <c:showCatName val="0"/>
          <c:showSerName val="0"/>
          <c:showPercent val="0"/>
          <c:showBubbleSize val="0"/>
        </c:dLbls>
        <c:gapWidth val="150"/>
        <c:axId val="629323296"/>
        <c:axId val="629324376"/>
      </c:barChart>
      <c:catAx>
        <c:axId val="62932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324376"/>
        <c:crosses val="autoZero"/>
        <c:auto val="1"/>
        <c:lblAlgn val="ctr"/>
        <c:lblOffset val="100"/>
        <c:noMultiLvlLbl val="0"/>
      </c:catAx>
      <c:valAx>
        <c:axId val="629324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32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323850</xdr:colOff>
      <xdr:row>1</xdr:row>
      <xdr:rowOff>171450</xdr:rowOff>
    </xdr:from>
    <xdr:to>
      <xdr:col>9</xdr:col>
      <xdr:colOff>428625</xdr:colOff>
      <xdr:row>7</xdr:row>
      <xdr:rowOff>152400</xdr:rowOff>
    </xdr:to>
    <xdr:sp macro="" textlink="">
      <xdr:nvSpPr>
        <xdr:cNvPr id="3" name="TextBox 2">
          <a:extLst>
            <a:ext uri="{FF2B5EF4-FFF2-40B4-BE49-F238E27FC236}">
              <a16:creationId xmlns:a16="http://schemas.microsoft.com/office/drawing/2014/main" id="{594AF05C-6DB3-550C-8CB2-13CAA1E99143}"/>
            </a:ext>
            <a:ext uri="{147F2762-F138-4A5C-976F-8EAC2B608ADB}">
              <a16:predDERef xmlns:a16="http://schemas.microsoft.com/office/drawing/2014/main" pred="{883E01DC-8242-9451-205D-5CBA632CD319}"/>
            </a:ext>
          </a:extLst>
        </xdr:cNvPr>
        <xdr:cNvSpPr txBox="1"/>
      </xdr:nvSpPr>
      <xdr:spPr>
        <a:xfrm>
          <a:off x="323850" y="361950"/>
          <a:ext cx="5591175" cy="11239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b="1">
              <a:latin typeface="+mn-lt"/>
              <a:ea typeface="+mn-lt"/>
              <a:cs typeface="+mn-lt"/>
            </a:rPr>
            <a:t>Top 3:</a:t>
          </a:r>
        </a:p>
        <a:p>
          <a:pPr marL="0" indent="0" algn="l"/>
          <a:r>
            <a:rPr lang="en-US" sz="1400">
              <a:latin typeface="+mn-lt"/>
              <a:ea typeface="+mn-lt"/>
              <a:cs typeface="+mn-lt"/>
            </a:rPr>
            <a:t>Prompt Coach (636 messages, 77 users) - Leader</a:t>
          </a:r>
        </a:p>
        <a:p>
          <a:pPr marL="0" indent="0" algn="l"/>
          <a:r>
            <a:rPr lang="en-US" sz="1400">
              <a:latin typeface="+mn-lt"/>
              <a:ea typeface="+mn-lt"/>
              <a:cs typeface="+mn-lt"/>
            </a:rPr>
            <a:t>Web Digger Company Infos (378 messages, 1 user) - Personal research tool</a:t>
          </a:r>
        </a:p>
        <a:p>
          <a:pPr marL="0" indent="0" algn="l"/>
          <a:r>
            <a:rPr lang="en-US" sz="1400">
              <a:latin typeface="+mn-lt"/>
              <a:ea typeface="+mn-lt"/>
              <a:cs typeface="+mn-lt"/>
            </a:rPr>
            <a:t>Email Polisher (368 messages, 1 user) - Personal email assistant</a:t>
          </a:r>
        </a:p>
      </xdr:txBody>
    </xdr:sp>
    <xdr:clientData/>
  </xdr:twoCellAnchor>
  <xdr:twoCellAnchor>
    <xdr:from>
      <xdr:col>0</xdr:col>
      <xdr:colOff>285750</xdr:colOff>
      <xdr:row>8</xdr:row>
      <xdr:rowOff>47625</xdr:rowOff>
    </xdr:from>
    <xdr:to>
      <xdr:col>5</xdr:col>
      <xdr:colOff>409575</xdr:colOff>
      <xdr:row>17</xdr:row>
      <xdr:rowOff>57150</xdr:rowOff>
    </xdr:to>
    <xdr:sp macro="" textlink="">
      <xdr:nvSpPr>
        <xdr:cNvPr id="4" name="TextBox 3">
          <a:extLst>
            <a:ext uri="{FF2B5EF4-FFF2-40B4-BE49-F238E27FC236}">
              <a16:creationId xmlns:a16="http://schemas.microsoft.com/office/drawing/2014/main" id="{349AD22D-30A0-F7CA-39E9-20E450D2AEF0}"/>
            </a:ext>
            <a:ext uri="{147F2762-F138-4A5C-976F-8EAC2B608ADB}">
              <a16:predDERef xmlns:a16="http://schemas.microsoft.com/office/drawing/2014/main" pred="{594AF05C-6DB3-550C-8CB2-13CAA1E99143}"/>
            </a:ext>
          </a:extLst>
        </xdr:cNvPr>
        <xdr:cNvSpPr txBox="1"/>
      </xdr:nvSpPr>
      <xdr:spPr>
        <a:xfrm>
          <a:off x="285750" y="1571625"/>
          <a:ext cx="3171825" cy="17240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a:latin typeface="+mn-lt"/>
              <a:ea typeface="+mn-lt"/>
              <a:cs typeface="+mn-lt"/>
            </a:rPr>
            <a:t>Top GPTs by live-only messages</a:t>
          </a:r>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400">
              <a:latin typeface="+mn-lt"/>
              <a:ea typeface="+mn-lt"/>
              <a:cs typeface="+mn-lt"/>
            </a:rPr>
            <a:t>Prompt Coach 636</a:t>
          </a:r>
        </a:p>
        <a:p>
          <a:pPr marL="0" indent="0" algn="l"/>
          <a:r>
            <a:rPr lang="en-US" sz="1400">
              <a:latin typeface="+mn-lt"/>
              <a:ea typeface="+mn-lt"/>
              <a:cs typeface="+mn-lt"/>
            </a:rPr>
            <a:t>Web Digger Company Infos 378</a:t>
          </a:r>
        </a:p>
        <a:p>
          <a:pPr marL="0" indent="0" algn="l"/>
          <a:r>
            <a:rPr lang="en-US" sz="1400">
              <a:latin typeface="+mn-lt"/>
              <a:ea typeface="+mn-lt"/>
              <a:cs typeface="+mn-lt"/>
            </a:rPr>
            <a:t>Email Polisher 368</a:t>
          </a:r>
        </a:p>
        <a:p>
          <a:pPr marL="0" indent="0" algn="l"/>
          <a:r>
            <a:rPr lang="en-US" sz="1400">
              <a:latin typeface="+mn-lt"/>
              <a:ea typeface="+mn-lt"/>
              <a:cs typeface="+mn-lt"/>
            </a:rPr>
            <a:t>Role Design Architect 302</a:t>
          </a:r>
        </a:p>
        <a:p>
          <a:pPr marL="0" indent="0" algn="l"/>
          <a:r>
            <a:rPr lang="en-US" sz="1400">
              <a:latin typeface="+mn-lt"/>
              <a:ea typeface="+mn-lt"/>
              <a:cs typeface="+mn-lt"/>
            </a:rPr>
            <a:t>Emma the Expertise Copywriter 280</a:t>
          </a:r>
        </a:p>
      </xdr:txBody>
    </xdr:sp>
    <xdr:clientData/>
  </xdr:twoCellAnchor>
  <xdr:twoCellAnchor>
    <xdr:from>
      <xdr:col>5</xdr:col>
      <xdr:colOff>504825</xdr:colOff>
      <xdr:row>8</xdr:row>
      <xdr:rowOff>66675</xdr:rowOff>
    </xdr:from>
    <xdr:to>
      <xdr:col>11</xdr:col>
      <xdr:colOff>228600</xdr:colOff>
      <xdr:row>17</xdr:row>
      <xdr:rowOff>76200</xdr:rowOff>
    </xdr:to>
    <xdr:sp macro="" textlink="">
      <xdr:nvSpPr>
        <xdr:cNvPr id="5" name="TextBox 4">
          <a:extLst>
            <a:ext uri="{FF2B5EF4-FFF2-40B4-BE49-F238E27FC236}">
              <a16:creationId xmlns:a16="http://schemas.microsoft.com/office/drawing/2014/main" id="{189BF508-3798-61C1-5CF5-6F927F759EE7}"/>
            </a:ext>
            <a:ext uri="{147F2762-F138-4A5C-976F-8EAC2B608ADB}">
              <a16:predDERef xmlns:a16="http://schemas.microsoft.com/office/drawing/2014/main" pred="{349AD22D-30A0-F7CA-39E9-20E450D2AEF0}"/>
            </a:ext>
          </a:extLst>
        </xdr:cNvPr>
        <xdr:cNvSpPr txBox="1"/>
      </xdr:nvSpPr>
      <xdr:spPr>
        <a:xfrm>
          <a:off x="3552825" y="1590675"/>
          <a:ext cx="3381375" cy="17240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a:latin typeface="+mn-lt"/>
              <a:ea typeface="+mn-lt"/>
              <a:cs typeface="+mn-lt"/>
            </a:rPr>
            <a:t>Description quality</a:t>
          </a:r>
        </a:p>
        <a:p>
          <a:pPr marL="0" indent="0" algn="l"/>
          <a:r>
            <a:rPr lang="en-US" sz="1400">
              <a:latin typeface="+mn-lt"/>
              <a:ea typeface="+mn-lt"/>
              <a:cs typeface="+mn-lt"/>
            </a:rPr>
            <a:t>21.5% of live GPT configs have an empty description.</a:t>
          </a:r>
        </a:p>
        <a:p>
          <a:pPr marL="0" indent="0" algn="l"/>
          <a:endParaRPr lang="en-US" sz="1400">
            <a:latin typeface="+mn-lt"/>
            <a:ea typeface="+mn-lt"/>
            <a:cs typeface="+mn-lt"/>
          </a:endParaRPr>
        </a:p>
        <a:p>
          <a:pPr marL="0" indent="0" algn="l"/>
          <a:r>
            <a:rPr lang="en-US" sz="1400">
              <a:latin typeface="+mn-lt"/>
              <a:ea typeface="+mn-lt"/>
              <a:cs typeface="+mn-lt"/>
            </a:rPr>
            <a:t>13.7% of live-only messages come from GPTs with no description, which makes governance and consolidation harder.</a:t>
          </a:r>
        </a:p>
      </xdr:txBody>
    </xdr:sp>
    <xdr:clientData/>
  </xdr:twoCellAnchor>
  <xdr:twoCellAnchor>
    <xdr:from>
      <xdr:col>11</xdr:col>
      <xdr:colOff>219075</xdr:colOff>
      <xdr:row>35</xdr:row>
      <xdr:rowOff>95251</xdr:rowOff>
    </xdr:from>
    <xdr:to>
      <xdr:col>16</xdr:col>
      <xdr:colOff>1209675</xdr:colOff>
      <xdr:row>59</xdr:row>
      <xdr:rowOff>104775</xdr:rowOff>
    </xdr:to>
    <xdr:sp macro="" textlink="">
      <xdr:nvSpPr>
        <xdr:cNvPr id="7" name="TextBox 6">
          <a:extLst>
            <a:ext uri="{FF2B5EF4-FFF2-40B4-BE49-F238E27FC236}">
              <a16:creationId xmlns:a16="http://schemas.microsoft.com/office/drawing/2014/main" id="{3AC332FD-D333-151E-4957-125CD8C1BC1D}"/>
            </a:ext>
            <a:ext uri="{147F2762-F138-4A5C-976F-8EAC2B608ADB}">
              <a16:predDERef xmlns:a16="http://schemas.microsoft.com/office/drawing/2014/main" pred="{189BF508-3798-61C1-5CF5-6F927F759EE7}"/>
            </a:ext>
          </a:extLst>
        </xdr:cNvPr>
        <xdr:cNvSpPr txBox="1"/>
      </xdr:nvSpPr>
      <xdr:spPr>
        <a:xfrm>
          <a:off x="6924675" y="6762751"/>
          <a:ext cx="6353175" cy="4581524"/>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Recommendations</a:t>
          </a:r>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Clean up. Removing duplicates reduces clutter, lowers governance risk, and makes it easier for consultants to find the right tools.</a:t>
          </a:r>
        </a:p>
        <a:p>
          <a:pPr marL="0" marR="0" indent="0" algn="l">
            <a:lnSpc>
              <a:spcPct val="100000"/>
            </a:lnSpc>
            <a:spcBef>
              <a:spcPts val="0"/>
            </a:spcBef>
            <a:spcAft>
              <a:spcPts val="0"/>
            </a:spcAft>
          </a:pP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GPTs to create</a:t>
          </a:r>
        </a:p>
        <a:p>
          <a:pPr marL="0" marR="0" indent="0" algn="l">
            <a:lnSpc>
              <a:spcPct val="100000"/>
            </a:lnSpc>
            <a:spcBef>
              <a:spcPts val="0"/>
            </a:spcBef>
            <a:spcAft>
              <a:spcPts val="0"/>
            </a:spcAft>
          </a:pP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Writing and communications 35.8% of messages. </a:t>
          </a:r>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Drafting and polishing emails, outreach, candidate and client messaging, and written deliverables.</a:t>
          </a: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Research and intelligence 11.1% of messages.</a:t>
          </a: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includes company or executive research and synthesis.</a:t>
          </a: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Prompting help 10.7% of messages.</a:t>
          </a: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Users asking for help getting the system to produce the right output.</a:t>
          </a: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Role and leadership advisory 5.1% of messages.</a:t>
          </a: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Role design, scorecards, competencies, interview guides.</a:t>
          </a: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Meeting notes and summarization 5.1% of messages. </a:t>
          </a:r>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Turning notes into actions and follow ups.</a:t>
          </a:r>
        </a:p>
      </xdr:txBody>
    </xdr:sp>
    <xdr:clientData/>
  </xdr:twoCellAnchor>
  <xdr:twoCellAnchor>
    <xdr:from>
      <xdr:col>0</xdr:col>
      <xdr:colOff>304800</xdr:colOff>
      <xdr:row>17</xdr:row>
      <xdr:rowOff>133350</xdr:rowOff>
    </xdr:from>
    <xdr:to>
      <xdr:col>11</xdr:col>
      <xdr:colOff>247650</xdr:colOff>
      <xdr:row>34</xdr:row>
      <xdr:rowOff>142875</xdr:rowOff>
    </xdr:to>
    <xdr:sp macro="" textlink="">
      <xdr:nvSpPr>
        <xdr:cNvPr id="2" name="TextBox 1">
          <a:extLst>
            <a:ext uri="{FF2B5EF4-FFF2-40B4-BE49-F238E27FC236}">
              <a16:creationId xmlns:a16="http://schemas.microsoft.com/office/drawing/2014/main" id="{F1F5AFC8-E761-F6EF-FD11-305C1646AEE1}"/>
            </a:ext>
            <a:ext uri="{147F2762-F138-4A5C-976F-8EAC2B608ADB}">
              <a16:predDERef xmlns:a16="http://schemas.microsoft.com/office/drawing/2014/main" pred="{3AC332FD-D333-151E-4957-125CD8C1BC1D}"/>
            </a:ext>
          </a:extLst>
        </xdr:cNvPr>
        <xdr:cNvSpPr txBox="1"/>
      </xdr:nvSpPr>
      <xdr:spPr>
        <a:xfrm>
          <a:off x="304800" y="3371850"/>
          <a:ext cx="6648450" cy="32480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b="1">
              <a:latin typeface="+mn-lt"/>
              <a:ea typeface="+mn-lt"/>
              <a:cs typeface="+mn-lt"/>
            </a:rPr>
            <a:t>The Problem: Redundancy &amp; Clutter</a:t>
          </a:r>
          <a:endParaRPr lang="en-US" sz="1400">
            <a:latin typeface="+mn-lt"/>
            <a:ea typeface="+mn-lt"/>
            <a:cs typeface="+mn-lt"/>
          </a:endParaRPr>
        </a:p>
        <a:p>
          <a:pPr marL="0" indent="0" algn="l"/>
          <a:r>
            <a:rPr lang="en-US" sz="1400">
              <a:latin typeface="+mn-lt"/>
              <a:ea typeface="+mn-lt"/>
              <a:cs typeface="+mn-lt"/>
            </a:rPr>
            <a:t>Data from December 2025 shows that 20%+ of our GPTs are near-identical clones (dev/test versions) with zero usage.</a:t>
          </a:r>
        </a:p>
        <a:p>
          <a:pPr marL="0" indent="0" algn="l"/>
          <a:endParaRPr lang="en-US" sz="1400">
            <a:latin typeface="+mn-lt"/>
            <a:ea typeface="+mn-lt"/>
            <a:cs typeface="+mn-lt"/>
          </a:endParaRPr>
        </a:p>
        <a:p>
          <a:pPr marL="0" indent="0" algn="l"/>
          <a:r>
            <a:rPr lang="en-US" sz="1400">
              <a:latin typeface="+mn-lt"/>
              <a:ea typeface="+mn-lt"/>
              <a:cs typeface="+mn-lt"/>
            </a:rPr>
            <a:t>Example: </a:t>
          </a:r>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 Candidate Letter creation tool description appears 4 times, all with zero usage.</a:t>
          </a: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CEO candidate lookup by assignment ID appears 4 times, all with zero usage.</a:t>
          </a: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 Client feedback Q and A appears 3 times, but only 1 is the version people actually use (93 messages). </a:t>
          </a:r>
        </a:p>
        <a:p>
          <a:pPr marL="0" marR="0" indent="0" algn="l">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other 2 are test variants with zero usage.</a:t>
          </a:r>
          <a:endParaRPr lang="en-US" sz="1400" b="0" i="0" u="none" strike="noStrike">
            <a:solidFill>
              <a:srgbClr val="000000"/>
            </a:solidFill>
            <a:latin typeface="+mn-lt"/>
            <a:ea typeface="+mn-lt"/>
            <a:cs typeface="+mn-lt"/>
          </a:endParaRPr>
        </a:p>
        <a:p>
          <a:pPr marL="0" marR="0" indent="0" algn="l">
            <a:lnSpc>
              <a:spcPct val="100000"/>
            </a:lnSpc>
            <a:spcBef>
              <a:spcPts val="0"/>
            </a:spcBef>
            <a:spcAft>
              <a:spcPts val="0"/>
            </a:spcAft>
          </a:pPr>
          <a:endParaRPr lang="en-US" sz="1400" b="1" i="0" u="none" strike="noStrike">
            <a:solidFill>
              <a:srgbClr val="000000"/>
            </a:solidFill>
            <a:latin typeface="+mn-lt"/>
            <a:ea typeface="+mn-lt"/>
            <a:cs typeface="+mn-lt"/>
          </a:endParaRPr>
        </a:p>
        <a:p>
          <a:pPr marL="0" marR="0" indent="0" algn="l">
            <a:lnSpc>
              <a:spcPct val="100000"/>
            </a:lnSpc>
            <a:spcBef>
              <a:spcPts val="0"/>
            </a:spcBef>
            <a:spcAft>
              <a:spcPts val="0"/>
            </a:spcAft>
          </a:pPr>
          <a:r>
            <a:rPr lang="en-US" sz="1400" b="1">
              <a:latin typeface="+mn-lt"/>
              <a:ea typeface="+mn-lt"/>
              <a:cs typeface="+mn-lt"/>
            </a:rPr>
            <a:t>The Goal: </a:t>
          </a:r>
          <a:r>
            <a:rPr lang="en-US" sz="1400">
              <a:latin typeface="+mn-lt"/>
              <a:ea typeface="+mn-lt"/>
              <a:cs typeface="+mn-lt"/>
            </a:rPr>
            <a:t>Move away from "dozens of tools" toward "two powerful assistants."</a:t>
          </a:r>
        </a:p>
      </xdr:txBody>
    </xdr:sp>
    <xdr:clientData/>
  </xdr:twoCellAnchor>
  <xdr:twoCellAnchor>
    <xdr:from>
      <xdr:col>0</xdr:col>
      <xdr:colOff>295275</xdr:colOff>
      <xdr:row>35</xdr:row>
      <xdr:rowOff>57150</xdr:rowOff>
    </xdr:from>
    <xdr:to>
      <xdr:col>11</xdr:col>
      <xdr:colOff>47625</xdr:colOff>
      <xdr:row>59</xdr:row>
      <xdr:rowOff>85725</xdr:rowOff>
    </xdr:to>
    <xdr:sp macro="" textlink="">
      <xdr:nvSpPr>
        <xdr:cNvPr id="8" name="TextBox 7">
          <a:extLst>
            <a:ext uri="{FF2B5EF4-FFF2-40B4-BE49-F238E27FC236}">
              <a16:creationId xmlns:a16="http://schemas.microsoft.com/office/drawing/2014/main" id="{C248AAFE-35D4-B249-73E3-BAE139BB9A28}"/>
            </a:ext>
            <a:ext uri="{147F2762-F138-4A5C-976F-8EAC2B608ADB}">
              <a16:predDERef xmlns:a16="http://schemas.microsoft.com/office/drawing/2014/main" pred="{F1F5AFC8-E761-F6EF-FD11-305C1646AEE1}"/>
            </a:ext>
          </a:extLst>
        </xdr:cNvPr>
        <xdr:cNvSpPr txBox="1"/>
      </xdr:nvSpPr>
      <xdr:spPr>
        <a:xfrm>
          <a:off x="295275" y="6724650"/>
          <a:ext cx="6457950" cy="46005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b="1">
              <a:latin typeface="+mn-lt"/>
              <a:ea typeface="+mn-lt"/>
              <a:cs typeface="+mn-lt"/>
            </a:rPr>
            <a:t>The Strategy: Two Flagship Copilots</a:t>
          </a:r>
          <a:endParaRPr lang="en-US" sz="1400">
            <a:latin typeface="+mn-lt"/>
            <a:ea typeface="+mn-lt"/>
            <a:cs typeface="+mn-lt"/>
          </a:endParaRPr>
        </a:p>
        <a:p>
          <a:pPr marL="0" indent="0" algn="l"/>
          <a:r>
            <a:rPr lang="en-US" sz="1400">
              <a:latin typeface="+mn-lt"/>
              <a:ea typeface="+mn-lt"/>
              <a:cs typeface="+mn-lt"/>
            </a:rPr>
            <a:t>We will retire the duplicates and launch two integrated tools:</a:t>
          </a:r>
          <a:endParaRPr lang="en-US" sz="1400" b="1">
            <a:latin typeface="+mn-lt"/>
            <a:ea typeface="+mn-lt"/>
            <a:cs typeface="+mn-lt"/>
          </a:endParaRPr>
        </a:p>
        <a:p>
          <a:pPr marL="0" indent="0" algn="l"/>
          <a:endParaRPr lang="en-US" sz="1400" b="1">
            <a:latin typeface="+mn-lt"/>
            <a:ea typeface="+mn-lt"/>
            <a:cs typeface="+mn-lt"/>
          </a:endParaRPr>
        </a:p>
        <a:p>
          <a:pPr marL="0" indent="0" algn="l"/>
          <a:r>
            <a:rPr lang="en-US" sz="1400" b="1">
              <a:latin typeface="+mn-lt"/>
              <a:ea typeface="+mn-lt"/>
              <a:cs typeface="+mn-lt"/>
            </a:rPr>
            <a:t>RRA Consultant Copilot (57% of usage)</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Focus: Writing emails, polishing client deliverables, research strategy, and meeting notes.</a:t>
          </a:r>
        </a:p>
        <a:p>
          <a:pPr marL="0" indent="0" algn="l"/>
          <a:endParaRPr lang="en-US" sz="1400">
            <a:latin typeface="+mn-lt"/>
            <a:ea typeface="+mn-lt"/>
            <a:cs typeface="+mn-lt"/>
          </a:endParaRPr>
        </a:p>
        <a:p>
          <a:pPr marL="0" indent="0" algn="l"/>
          <a:r>
            <a:rPr lang="en-US" sz="1400">
              <a:latin typeface="+mn-lt"/>
              <a:ea typeface="+mn-lt"/>
              <a:cs typeface="+mn-lt"/>
            </a:rPr>
            <a:t>Value: One-stop shop for daily consultant productivity.</a:t>
          </a:r>
          <a:endParaRPr lang="en-US" sz="1400" b="1">
            <a:latin typeface="+mn-lt"/>
            <a:ea typeface="+mn-lt"/>
            <a:cs typeface="+mn-lt"/>
          </a:endParaRPr>
        </a:p>
        <a:p>
          <a:pPr marL="0" indent="0" algn="l"/>
          <a:endParaRPr lang="en-US" sz="1400" b="1">
            <a:latin typeface="+mn-lt"/>
            <a:ea typeface="+mn-lt"/>
            <a:cs typeface="+mn-lt"/>
          </a:endParaRPr>
        </a:p>
        <a:p>
          <a:pPr marL="0" indent="0" algn="l"/>
          <a:r>
            <a:rPr lang="en-US" sz="1400" b="1">
              <a:latin typeface="+mn-lt"/>
              <a:ea typeface="+mn-lt"/>
              <a:cs typeface="+mn-lt"/>
            </a:rPr>
            <a:t>RRA Talent Advisory Copilot (30% of usage)</a:t>
          </a:r>
          <a:endParaRPr lang="en-US" sz="1400">
            <a:latin typeface="+mn-lt"/>
            <a:ea typeface="+mn-lt"/>
            <a:cs typeface="+mn-lt"/>
          </a:endParaRPr>
        </a:p>
        <a:p>
          <a:pPr marL="0" indent="0" algn="l"/>
          <a:endParaRPr lang="en-US" sz="1400">
            <a:latin typeface="+mn-lt"/>
            <a:ea typeface="+mn-lt"/>
            <a:cs typeface="+mn-lt"/>
          </a:endParaRPr>
        </a:p>
        <a:p>
          <a:pPr marL="0" indent="0" algn="l"/>
          <a:r>
            <a:rPr lang="en-US" sz="1400">
              <a:latin typeface="+mn-lt"/>
              <a:ea typeface="+mn-lt"/>
              <a:cs typeface="+mn-lt"/>
            </a:rPr>
            <a:t>Focus: Role scorecards, interview guides, and candidate narratives.</a:t>
          </a:r>
        </a:p>
        <a:p>
          <a:pPr marL="0" indent="0" algn="l"/>
          <a:endParaRPr lang="en-US" sz="1400">
            <a:latin typeface="+mn-lt"/>
            <a:ea typeface="+mn-lt"/>
            <a:cs typeface="+mn-lt"/>
          </a:endParaRPr>
        </a:p>
        <a:p>
          <a:pPr marL="0" indent="0" algn="l"/>
          <a:r>
            <a:rPr lang="en-US" sz="1400">
              <a:latin typeface="+mn-lt"/>
              <a:ea typeface="+mn-lt"/>
              <a:cs typeface="+mn-lt"/>
            </a:rPr>
            <a:t>Value: High-stakes assessment and reporting support.</a:t>
          </a:r>
        </a:p>
        <a:p>
          <a:pPr marL="0" indent="0" algn="l"/>
          <a:endParaRPr lang="en-US" sz="1400">
            <a:latin typeface="+mn-lt"/>
            <a:ea typeface="+mn-lt"/>
            <a:cs typeface="+mn-lt"/>
          </a:endParaRPr>
        </a:p>
        <a:p>
          <a:pPr marL="0" indent="0" algn="l"/>
          <a:r>
            <a:rPr lang="en-US" sz="1400">
              <a:latin typeface="+mn-lt"/>
              <a:ea typeface="+mn-lt"/>
              <a:cs typeface="+mn-lt"/>
            </a:rPr>
            <a:t>The Bottom Line</a:t>
          </a:r>
        </a:p>
        <a:p>
          <a:pPr marL="0" indent="0" algn="l"/>
          <a:r>
            <a:rPr lang="en-US" sz="1400">
              <a:latin typeface="+mn-lt"/>
              <a:ea typeface="+mn-lt"/>
              <a:cs typeface="+mn-lt"/>
            </a:rPr>
            <a:t>We transition from a fragmented library of experimental tools to two governed flagship products that solve 86% of user needs, leaving only a 14% "specialized tail" for unique edge cases.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609599</xdr:colOff>
      <xdr:row>27</xdr:row>
      <xdr:rowOff>0</xdr:rowOff>
    </xdr:from>
    <xdr:to>
      <xdr:col>12</xdr:col>
      <xdr:colOff>123824</xdr:colOff>
      <xdr:row>35</xdr:row>
      <xdr:rowOff>90488</xdr:rowOff>
    </xdr:to>
    <xdr:graphicFrame macro="">
      <xdr:nvGraphicFramePr>
        <xdr:cNvPr id="3" name="Chart 2">
          <a:extLst>
            <a:ext uri="{FF2B5EF4-FFF2-40B4-BE49-F238E27FC236}">
              <a16:creationId xmlns:a16="http://schemas.microsoft.com/office/drawing/2014/main" id="{F7CBD42D-718E-4854-B42A-3AB71838D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h Nguyen" refreshedDate="46055.723832870368" createdVersion="8" refreshedVersion="8" minRefreshableVersion="3" recordCount="640" xr:uid="{23582BE2-4A2B-4F30-AA3E-85C92F175E60}">
  <cacheSource type="worksheet">
    <worksheetSource name="Table1"/>
  </cacheSource>
  <cacheFields count="13">
    <cacheField name="cadence" numFmtId="0">
      <sharedItems/>
    </cacheField>
    <cacheField name="period_start" numFmtId="14">
      <sharedItems containsSemiMixedTypes="0" containsNonDate="0" containsDate="1" containsString="0" minDate="2025-12-01T00:00:00" maxDate="2025-12-02T00:00:00" count="1">
        <d v="2025-12-01T00:00:00"/>
      </sharedItems>
    </cacheField>
    <cacheField name="period_end" numFmtId="14">
      <sharedItems containsSemiMixedTypes="0" containsNonDate="0" containsDate="1" containsString="0" minDate="2025-12-31T00:00:00" maxDate="2026-01-01T00:00:00"/>
    </cacheField>
    <cacheField name="gpt_name" numFmtId="0">
      <sharedItems containsBlank="1" count="378">
        <s v="RRA Infra"/>
        <s v="Hyperstack Engineer"/>
        <m/>
        <s v="Leadership Assessment Partner"/>
        <s v="360 Feedback Analyst"/>
        <s v="Search Strategy"/>
        <s v="Amazonia Special Project"/>
        <s v="Answer Emails"/>
        <s v="Speech's &amp; SO Email"/>
        <s v="PNB's"/>
        <s v="SM Resume"/>
        <s v="Balkan Mom GPT"/>
        <s v="Cred Slide Decoder"/>
        <s v="IdioMatic"/>
        <s v="AB Candidate Report Writer"/>
        <s v="Industry Trends Agent"/>
        <s v="Candidate comments (150 words)"/>
        <s v="Position spec writer"/>
        <s v="Candidate Career Bullet Points"/>
        <s v="SM Assistant"/>
        <s v="Meeting Transcription Converter"/>
        <s v="Reference Report Builder"/>
        <s v="Candidate Report Writer"/>
        <s v="SM Scaling and Prep"/>
        <s v="Prompt Coach"/>
        <s v="Test"/>
        <s v="Quick Guide Writer"/>
        <s v="Another Test Coach with Study Mode Instructions"/>
        <s v="RRA Brand Voice GPT"/>
        <s v="Assessment Bot"/>
        <s v="ã€æ—¥æœ¬èªžã€‘ãƒã‚§ãƒƒã‚¯"/>
        <s v="ã€è‹±èªžã€‘ãƒã‚§ãƒƒã‚¯"/>
        <s v="PE Highlights"/>
        <s v="Reference Report Assistant"/>
        <s v="Creds combiner from excel and ppt"/>
        <s v="Candidate Summary Write-up [TEST 24/11/25]"/>
        <s v="Review Builder"/>
        <s v="Candidate Letter Generator"/>
        <s v="Psychometric Report Generator"/>
        <s v="Client Feedback Q&amp;A"/>
        <s v="Psychometric Report Generator - Local Build"/>
        <s v="Assessment Meeting Scheduler"/>
        <s v="CEO Candidate by Assignment OATH - brygib"/>
        <s v="Advanced Prompt Builder"/>
        <s v="GPT Instructions Improver"/>
        <s v="Hello World"/>
        <s v="Candidate Letter Generator - DEV"/>
        <s v="CEO Candidate by Assignment (copy)"/>
        <s v="Candidate Letter Generator - Backup 20251120"/>
        <s v="Candidate Letter Generator - test 5.0 regression"/>
        <s v="Candidate Letter Generator V4 - Local"/>
        <s v="Client Feedback Q&amp;A - dev data issue"/>
        <s v="Candidate Letter Generator V3"/>
        <s v="Monthly Variance Report"/>
        <s v="Test Running Python"/>
        <s v="Candidate Letter Generator - Prod connection test"/>
        <s v="training"/>
        <s v="Monthly Variance Report - Amay"/>
        <s v="Client Feedback Q&amp;A - Prod Connection Test"/>
        <s v="Psychometric Report Generator - test recs"/>
        <s v="Search Excellence Agent - Sabina"/>
        <s v="test apim"/>
        <s v="Search Email"/>
        <s v="PC - Target Asset Deck Builder"/>
        <s v="The Growth Coach"/>
        <s v="Call Notes Polisher"/>
        <s v="English Translator and professionalizer"/>
        <s v="PE Check"/>
        <s v="Leadership Portrait Report writer"/>
        <s v="Development Coaching"/>
        <s v="Candidate Archetype"/>
        <s v="Marketing &amp; Branding Coach"/>
        <s v="Weekly Two Things Update"/>
        <s v="Search Funnel Builder"/>
        <s v="News Builder"/>
        <s v="Executive CV Summarizer"/>
        <s v="Psychometric Report Writing"/>
        <s v="Project Coordinator / EA"/>
        <s v="Highlights"/>
        <s v="Fortune 500 GC Insights"/>
        <s v="Marshall Goldsmith"/>
        <s v="CAPstone GPT"/>
        <s v="Search Overview Generator"/>
        <s v="One-page CL generator"/>
        <s v="Search Briefing GPT"/>
        <s v="Search Briefing Generator"/>
        <s v="CV Analyser"/>
        <s v="Spec Writer (ENG)"/>
        <s v="CL Writer BayWa (GER)"/>
        <s v="REF Writer"/>
        <s v="CL Writer - BÃ¶rse"/>
        <s v="CL Writer - Hylane"/>
        <s v="CL Writer  NEW Template"/>
        <s v="Prompt Builder"/>
        <s v="RRA Regional Campaign Asset Generator"/>
        <s v="RRA Global-to-Regional Campaign Generator"/>
        <s v="Marketing Campaign Generator"/>
        <s v="Client References"/>
        <s v="Creative CEO Thought Partner"/>
        <s v="Polished PC Partner"/>
        <s v="Stock Loan Memorandum"/>
        <s v="Appraisal Outline"/>
        <s v="SPEC reader"/>
        <s v="Status Call Prep"/>
        <s v="Nvidia Candidate Letter"/>
        <s v="TEST | Executive reporter"/>
        <s v="Media Summarizer ðŸ“‘"/>
        <s v="Lalo's Ghost writer ðŸ‘»"/>
        <s v="MLT Weekly Update"/>
        <s v="Global Leadership Monitor Insights Advisor"/>
        <s v="Leadership Lounge Promotional Content Writer"/>
        <s v="SM Trends Advisor"/>
        <s v="Redefiners Promotional Content Writer"/>
        <s v="Clarke's Executive Voice Copy Creator"/>
        <s v="RRA Social Copy Assistant"/>
        <s v="Pascal Manager Performance Review GPT"/>
        <s v="BioMarin Candidate Letter GPT"/>
        <s v="Kyverna Candidate Letter GPT"/>
        <s v="Interview Notes Polisher"/>
        <s v="Company Insight Formatter"/>
        <s v="Candidate Letter"/>
        <s v="Write Reference"/>
        <s v="Airbus Assessment Report Writer"/>
        <s v="Position Specification Writer"/>
        <s v="CL creator - Zeppelin"/>
        <s v="Hensoldt Assessments"/>
        <s v="OneNote GPT_v1"/>
        <s v="Company_Agent_Elastic_v1"/>
        <s v="Nathaniel (Nate for short)"/>
        <s v="Petula"/>
        <s v="Christina"/>
        <s v="Candice"/>
        <s v="Leadership News Lens"/>
        <s v="Redefiners &amp; Leadership Lounge Assistant"/>
        <s v="Leadership Advice Content Strategist"/>
        <s v="Global CEO Turnover Index Report Writer"/>
        <s v="Family Enterprise Advisory Content Partner"/>
        <s v="Product Storysmith"/>
        <s v="OneNote GPT"/>
        <s v="HC Coding Classifier"/>
        <s v="Healthcare KM Strategist 2.0"/>
        <s v="HealthTech Paper Collab"/>
        <s v="Company-SP-UserPreference"/>
        <s v="Person-SP-UserPreference"/>
        <s v="HN-V7-SDK-Person-Smart-Pack-GPT"/>
        <s v="HN Person-Smart-Pack-GPT_inprogress (copy)"/>
        <s v="HN-V4-SDK-Person-Smart-Pack-GPT"/>
        <s v="HN-V4-SDK-Person-Smart-Pack-GPT (copy)"/>
        <s v="HN Final Person-Smart-Pack-GPT_inprogress"/>
        <s v="HN-V2-SDK-Person-Smart-Pack-GPT"/>
        <s v="HN-V5-SDK-Person-Smart-Pack-GPT"/>
        <s v="Company-Smart-Pack-GPT_qa (copy)"/>
        <s v="Person-Smart-Pack-GPT_inprogress (copy)"/>
        <s v="HN-V3-SDK-Person-Smart-Pack-GPT"/>
        <s v="HN-V8-SDK-Person-Smart-Pack-GPT"/>
        <s v="HN-SDK-Person-Smart-Pack-GPT"/>
        <s v="Company-Smart-Pack-GPT_inprogress (copy)"/>
        <s v="PE Investor Tearsheet"/>
        <s v="Profile Matcher"/>
        <s v="Transcript Intelligence Assistant (TIA)"/>
        <s v="Executive Versatility Analysis"/>
        <s v="Leadership Spanâ„¢ Slide Builder"/>
        <s v="SM Private Equity"/>
        <s v="Screen Call Notes Consolidator"/>
        <s v="Highlights (3 Bullet Point)"/>
        <s v="Speaking Note Creator"/>
        <s v="Candidate Letter Tool"/>
        <s v="Email Polisher"/>
        <s v="Engage check +PE/VC 1 role"/>
        <s v="Voice Message Generator"/>
        <s v="Study Mode Tutor"/>
        <s v="Bios avanzadas + Highlights"/>
        <s v="Bios highlights"/>
        <s v="Executive Summary + arquetipos"/>
        <s v="Appraisals"/>
        <s v="Consultant Finder"/>
        <s v="Clio"/>
        <s v="Poirot"/>
        <s v="Falstaff"/>
        <s v="Reference Summary Assistant"/>
        <s v="PRRA Interview notes"/>
        <s v="Appraisal Builder - Research"/>
        <s v="Caliper Analysis"/>
        <s v="YEA - Feedback builder"/>
        <s v="Kiki's Morning Report &amp; Evening Reflection"/>
        <s v="Company Details for SM"/>
        <s v="Highlights for SM"/>
        <s v="Kayâ€™s Email Assistant"/>
        <s v="WIP AI Proofreader Assistant"/>
        <s v="Social Charge Info collect"/>
        <s v="Social Cost Research"/>
        <s v="SM highlights for NED assignments"/>
        <s v="L&amp;D bot"/>
        <s v="AI Content Detector"/>
        <s v="Company Description generator"/>
        <s v="MAP"/>
        <s v="Candidate Letter Writer"/>
        <s v="SM Comments"/>
        <s v="Presentation Design Assistant"/>
        <s v="Software Dev Lead 2"/>
        <s v="Executive Search Spec Writer"/>
        <s v="Test Agent"/>
        <s v="Tech Mentor for PMs"/>
        <s v="Lead Developer Coach"/>
        <s v="Position Spec Generator"/>
        <s v="Software Development/AI Specialist Advisor"/>
        <s v="(Test) Person Get Smart Pack Agent ðŸ”"/>
        <s v="Web Digger Company Infos"/>
        <s v="Profile Digger (Search)"/>
        <s v="Profile Digger"/>
        <s v="Company Corporate Structure/Hierarchy"/>
        <s v="CL GPT"/>
        <s v="Business Analyst"/>
        <s v="One Pager Notes"/>
        <s v="CL writer"/>
        <s v="Role Design Architect"/>
        <s v="Critical Role Challenge Expert"/>
        <s v="The Psychometric Stylist"/>
        <s v="Executive Assessment Advisor"/>
        <s v="SmartPack Builder for Karalee Close"/>
        <s v="Pitch Intro Creator"/>
        <s v="Translations"/>
        <s v="Calendar Scriptsmith"/>
        <s v="RegalRexnord Candidate Letter"/>
        <s v="easycreds"/>
        <s v="Gimme Creds"/>
        <s v="Look4Creds"/>
        <s v="CPP evaluation"/>
        <s v="Company Snapshot for SMs"/>
        <s v="HB Report Writer"/>
        <s v="Constantine's YE appraisal writer"/>
        <s v="Succession &amp; Governance Advisor"/>
        <s v="Executive Meeting Advisor"/>
        <s v="Industry Trend Advisor"/>
        <s v="Michelle YE appraisal writer"/>
        <s v="ChatGPT Pro Helper"/>
        <s v="Meeting Summary Points"/>
        <s v="Fortune 500 GC Insights 2.0"/>
        <s v="Create Promotional Assets for Events"/>
        <s v="RRA Client Insights Support(for Consultants)"/>
        <s v="AI Policy Advisor 3.0"/>
        <s v="Art Linkedin Email"/>
        <s v="AI Detector 2.1"/>
        <s v="A.YearEndReview-WIP"/>
        <s v="Winning Business Credit Allocation Assistant"/>
        <s v="RRA Policy Advisor2.0"/>
        <s v="Meeting Summary Main Points"/>
        <s v="RRA Client Insights Support v2.0"/>
        <s v="D.Emails RRA style"/>
        <s v="Post Client Meeting Notes"/>
        <s v="Davos Support"/>
        <s v="Performance Review.RRA"/>
        <s v="Professional Notes Assistant"/>
        <s v="Note Cleaner"/>
        <s v="google drive test"/>
        <s v="Security Operations GPT"/>
        <s v="Cyber Security Assistant"/>
        <s v="Run Log Assistant"/>
        <s v="Overnight Brief Briefing"/>
        <s v="A&amp;D Case Study Creator"/>
        <s v="Leadership Writing Editor"/>
        <s v="Leadership Profile Analyst"/>
        <s v="Development Coach"/>
        <s v="Manager Performance Review GPT"/>
        <s v="Leaves E-mail Summarizer"/>
        <s v="Pam's CL creator"/>
        <s v="Viju Client Meeting Finder"/>
        <s v="Candidate Letter Generator Plus"/>
        <s v="Pam's Invoice and Collections"/>
        <s v="Morning Client Brief"/>
        <s v="Business Analysis Co-Pilot"/>
        <s v="Hogan Leadership Analyzer"/>
        <s v="BHP Exec Edge Data Extraction"/>
        <s v="CPP Aid"/>
        <s v="360 Interview Notes Analyzer"/>
        <s v="funnel assistant"/>
        <s v="Pro Notes"/>
        <s v="Internal Comms Companion"/>
        <s v="Work Personality Coach"/>
        <s v="Boilerplate Cleaner â€“ Events/Contacts/Sponsored"/>
        <s v="Newsletter text cleaning"/>
        <s v="Target Company Researcher"/>
        <s v="Executive Brand Builder"/>
        <s v="Lucy"/>
        <s v="Korn Ferry Results vs RRA"/>
        <s v="RRA Prompt Assistant"/>
        <s v="PE SIM Detail"/>
        <s v="Interview Notes Transcription"/>
        <s v="Candidate Report Generator"/>
        <s v="Job description"/>
        <s v="Meeting Notes Assistant"/>
        <s v="AI Task Augmentation Analyst"/>
        <s v="Brand House Creator"/>
        <s v="Stationery Invoice Processor"/>
        <s v="Sarah Lermsider's Self-Appraisal GPT"/>
        <s v="SLT Update GPT"/>
        <s v="Amy's Agenda Snapshot"/>
        <s v="EA Invoice Assistant"/>
        <s v="Executive Briefing Agent - EA to CMCO"/>
        <s v="Redefiners Host Onboarding GPT"/>
        <s v="Redefiners Guest Vetting GPT"/>
        <s v="MarComms Invoice Assistant"/>
        <s v="Self-Awareness GPT"/>
        <s v="Consultant LinkedIn Assistant"/>
        <s v="Lead Assignment Agent"/>
        <s v="Meeting Notes Assistant - EA to CMCO"/>
        <s v="Guten Morgan"/>
        <s v="OneNote GPT - qa"/>
        <s v="Generate ChatGPT GPT Analytics Executive Summary"/>
        <s v="Generate ChatGPT User Analytics Executive Summary"/>
        <s v="CEO Candidate by Assignment QA API Key"/>
        <s v="Sharepoint Online Non-MS Graph"/>
        <s v="Sharepoint File Retrieval PreProcessing"/>
        <s v="Get CEO Assignment Targets"/>
        <s v="EDM Company Reader"/>
        <s v="Sharepoint File Retrieval Azure Function"/>
        <s v="Sharepoint Online Query"/>
        <s v="Salesforce DEV009 Test GPT"/>
        <s v="M365 Outlook GPT"/>
        <s v="Candidate/Client Assessor"/>
        <s v="Person-Finders"/>
        <s v="Person-Finders-qa"/>
        <s v="Company-Finders"/>
        <s v="SH-V1-SDK-Company-Smart-Pack-GPT"/>
        <s v="RRA New Hire Orientation GPT"/>
        <s v="RRA Insight PowerShell Data Tool"/>
        <s v="Reminder Tracker"/>
        <s v="Marlo"/>
        <s v="Sophie the Sub-Industry Copywriter"/>
        <s v="Emma the Expertise Copywriter"/>
        <s v="Cecilia - The Strategic Relationship Coach"/>
        <s v="Susannah"/>
        <s v="Brief to Campaign"/>
        <s v="Dev the Development Campaign Copywriting"/>
        <s v="Tina Turnover"/>
        <s v="Paige Quality"/>
        <s v="Sylwia"/>
        <s v="Sylwia's"/>
        <s v="MI"/>
        <s v="References Clean-up"/>
        <s v="Reindeer Genie"/>
        <s v="Ask RRA Take Deux"/>
        <s v="GPT with Open-Ended Response Analysis"/>
        <s v="Genie Fetcher"/>
        <s v="GPT With AskRRA"/>
        <s v="GPT with AskRRA Question Answering"/>
        <s v="BoardEx Genie"/>
        <s v="Tom's EA's"/>
        <s v="Tom's CL's"/>
        <s v="Job-Spec criteria extractor"/>
        <s v="Drafting EL from Gantt chart"/>
        <s v="Proofreading"/>
        <s v="Building meeting agendas"/>
        <s v="Assessment project status update"/>
        <s v="Company Smart Pack GPT"/>
        <s v="Person Smart Pack GPT"/>
        <s v="Person-Smart-Pack-GPT_qa"/>
        <s v="Company-Smart-Pack-GPT_qa"/>
        <s v="Company-Smart-Pack-GPT_inprogress"/>
        <s v="Person-Smart-Pack-GPT_inprogress"/>
        <s v="RRA Enterprise GPT Router"/>
        <s v="Company Smart Pack - Quality Tester"/>
        <s v="Json Formatter  GPT"/>
        <s v="Elastic Query Helper"/>
        <s v="Project-Smart-Pack-GPT_qa"/>
        <s v="Person-Smart-Pack-GPT_qa (copy)"/>
        <s v="Vijay_Company_Agent"/>
        <s v="Project-Smart-Pack-GPT_inprogress"/>
        <s v="Vijay_Test_GPT (copy)"/>
        <s v="Vijay_Core_Entity_Agent_v1"/>
        <s v="RRA TOKYO Wakako's Translator"/>
        <s v="Training Video test"/>
        <s v="Training Attendance Tool"/>
        <s v="FeeShift GPT"/>
        <s v="Global Monthly Variance"/>
        <s v="Firm Services Monthly GPT"/>
        <s v="DPIA Drafting Assistant"/>
        <s v="Client Updates Assistant"/>
      </sharedItems>
    </cacheField>
    <cacheField name="config_type" numFmtId="0">
      <sharedItems containsBlank="1" count="3">
        <s v="live"/>
        <s v="draft"/>
        <m/>
      </sharedItems>
    </cacheField>
    <cacheField name="gpt_description" numFmtId="0">
      <sharedItems containsBlank="1" count="290" longText="1">
        <m/>
        <s v="A platform engineer for IaC, DevOps, automation, and builds."/>
        <s v="Interprets assessment data and builds structured, executive-ready leadership insights."/>
        <s v="Analyzes 360Â° feedback files and produces evidence-based Strengths and Development Areas tables with full verbatim quotes."/>
        <s v="Creador de estrategias de bÃºsqueda de empresas para proyectos de research y executive search."/>
        <s v="Crea slides claras y estratÃ©gicas que explican la comprensiÃ³n de una situaciÃ³n."/>
        <s v="Crea resÃºmenes profesionales a partir de notas y enlaces de LinkedIn."/>
        <s v="A blunt, no-nonsence reviewer of feedback that can be used to coach consultants on selling work"/>
        <s v="Counts logos, extracts credentials, flags unidentified positions, outputs sorted table and CSV."/>
        <s v="Polishes any sentence or text, providing 3 versions in idiomatic business English."/>
        <s v="A GPT to automate the initial draft of candidate reports using my writing style and format."/>
        <s v="Create a â€œTrends Redefining [Industry] and Talent Implicationsâ€ slide that connects macro forces reshaping the business to leadership and talent requirements specific to the client company. The goal is to translate external industry shifts into internal leadership imperatives."/>
        <s v="Creates concise, client-ready executive summaries from public sources."/>
        <s v="Drafts clear, professional Position Specification content for executive search."/>
        <s v="Creates a summary of candidate career history"/>
        <s v="Creates  tables summarising candidates' company experience"/>
        <s v="Convert transcriptions to structured notes"/>
        <s v="Creates structured, verbatim-style executive reference reports."/>
        <s v="Writes structured, objective candidate reports based on CVs and interviews for senior executive search."/>
        <s v="Australian version"/>
        <s v="Welcome to RRA ChatGPT Pro!  Work with the Prompt Coach to build prompt engineering skill and confidence through short, role-specific exercises. Dive in, stay curious, and discover what you and ChatGPT Pro can do together!"/>
        <s v="Compares master roster with Zoom exports to mark session attendance."/>
        <s v="Creates concise, casual quick guides for software adoption"/>
        <s v="Test"/>
        <s v="Easily check if your article, slides (PDF), whitepaper or internal documents complies with the RRA style guide. Simply attach the draft or copy/paste the text into the GPT. Use these Quick Start chats below to get started."/>
        <s v="Helps write assessment report content"/>
        <s v="Polishes Japanese communication for tone, fluency, and clarity."/>
        <s v="Produces formal reference reports aligned with RRA reporting standards."/>
        <s v="Cleans and polishes reference-call notes into client-ready RRA documents."/>
        <s v="Extracts companies and roles from Excel, PPT, and screenshots, includes a secondary 'check-on-insight' table for PPT-only items."/>
        <s v="Prepares concise, factual Russell Reynoldsâ€“style candidate summaries for client packs."/>
        <s v="Helps leaders craft polished, structured performance reviews using firm-approved prompts."/>
        <s v="Interactively create a Candidate Letter from documents, notes and examples"/>
        <s v="Generate a set of RRA Psych Only Assessment Slides based on the following files: hogan report, opq report"/>
        <s v="Get answers to questions about our Client Feedback. Ask by Consultant, Client, Industry, Office, Service Line, and time-period. NOTE: Data is limited by project membership and leadership roles. You can only ask questions over data you have access to."/>
        <s v="Generates content in the style and format of the uploaded document, preserving structure, sections, and stylistic elements."/>
        <s v="Proposes a set of meeting times for Assessments given Consultant and Assessment Targets and a set of constraints."/>
        <s v="Get CEO candidates on a specific assignment ID"/>
        <s v="Generate effective Custom GPT instructions"/>
        <s v="Given a set of GPT instructions (prompt) and an issue, explain how it might be solved and suggest new instructions"/>
        <s v="Gets a greeting from a mcp server"/>
        <s v="Acts as a Search Excellence coach, guiding users on how to execute search according to a set of standards based on provided slides. Offers coaching, answers questions, and provides actionable feedback to help users adhere to best practices."/>
        <s v="Create a CL"/>
        <s v="Generates a Monthly Variance Analysis Report for Russell Reynolds based on financial data"/>
        <s v="Test out running python code embedded in a GPT"/>
        <s v="Generates a Monthly Variance Analysis Report for CompanyA based on financial data"/>
        <s v="Generate Monthly Variance Report - created by Amay Kothari"/>
        <s v="test connection to apim"/>
        <s v="Return email from a timeperiod for a person"/>
        <s v="RRA-branded deal-prep researcher with PDF download option (UK English, investor-neutral, balanced-depth)"/>
        <s v="A challenging leadership coach helping you grow into a trusted advisor and commercial leader."/>
        <s v="A senior PE operating partner lens for leadership and value creation analysis."/>
        <s v="Write concise - insightful leadership assessment reports for c-suite leaders. Some are candidates some are in place but these insights will inform big people decisions. we re helping clients understand the DNA of the leader, what makes the leader they are -strengths, risks, development areas."/>
        <s v="Transforms leadership feedback into clear, empowering, growth oriented insights."/>
        <s v="Segment candidate profiles into archetypes that can be used to identify strengths for a given role/job description"/>
        <s v="Polishes corporate writing to be pithy, strategic, and on-brand with Russell Reynolds style."/>
        <s v="Creates finalized Weekly Two Things Updates focused on top business themes from the past 7 days."/>
        <s v="Builds evolving internal search reports with mapped titles, insights, and company segmentation."/>
        <s v="Formats pasted news into clean, precise summaries in plain text with lines between entries."/>
        <s v="Upload a CV to instantly generate a crisp, 300-word leadership career summary with facts, impact, and narrative flow."/>
        <s v="A distinctive-level executive assistant and project coordinator, embodying excellence in firm support."/>
        <s v="Creates professional career summaries written in full sentences."/>
        <s v="Analyzes trends and profiles in Fortune 500 legal and governance leadership."/>
        <s v="Your firm but witty Marshall Goldsmithâ€“style coach with structured accountability and creative growth exercises."/>
        <s v="Uses RRA CAPstone models including CCE, Talent Gap, PESTLE, Pyramid, and Outcomeâ€“Intent framing."/>
        <s v="Takes inputs from a range of client materials and interviews and populates a set template to provide a concise, structured overview for the search."/>
        <s v="creates deeply critical and insightful, crisp candidate reports to support clients with interviewing, evaluating and comparing candidates."/>
        <s v="Candidate Report Writer"/>
        <s v="This GPT helps you write effective prompts"/>
        <s v="This agent creates executive-ready, multi-channel marketing assets to promote a regionally authored RRA paper or article. It translates a regional campaign brief into sophisticated, insight-led promotional content while maintaining alignment with RRAâ€™s global brand standards."/>
        <s v="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
        <s v="Helps create polished client-ready referencing documents."/>
        <s v="A creative strategic advisor for CEOs on emerging topics and future possibilities."/>
        <s v="Creates a summary of candidate career history (PE)"/>
        <s v="Polished yet personable executiveâ€‘search assistant for drafting emails."/>
        <s v="Creates individual stock loan letters for each Managing Director"/>
        <s v="Locate and concisely summarize the key components to write my self assessment"/>
        <s v="It monitors trends in job specs over time"/>
        <s v="Helps prepare structured talking points and narratives for executive-search client calls, including candidate pros/cons, differentiators, and open questions. Supports role-playing and summarizing updates for confident, business-ready delivery."/>
        <s v="A precise letter writer for Nvidia candidate recommendations."/>
        <s v="To create reports from explanations"/>
        <s v="Produces concise, weighted GLM insights; reports unweighted base sizes only on request."/>
        <s v="Generates all Leadership Lounge episode promotional content, including nurture emails."/>
        <s v="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
        <s v="Input episode title, description, video clip transcripts, and quote card text to receive all promo assets for the episode."/>
        <s v="Writes authentic, story-driven LinkedIn posts in Clarke Murphyâ€™s human, reflective voice."/>
        <s v="Writes and refines social copy in the Russell Reynolds Associates brand voice."/>
        <s v="Expert performance review GPT for managers.  Before using this GPT, managers should reference their notes and the documents downloaded from the â€œStakeholder Feedbackâ€ section in the employeeâ€™s YE appraisal."/>
        <s v="Organizes meetings by day, tracks prep tasks, adds reminders."/>
        <s v="Generates structured, factual candidate letters in RRA format with tone matching the Anuj Gaggar template."/>
        <s v="Generates structured, factual candidate letters in RRA format with tone matching the Mayo Pujols template."/>
        <s v="Cleans, formats, and refines executive search and interview notes for professional output."/>
        <s v="Creates polished executive career summaries in a structured P&amp;L-based format."/>
        <s v="Generates concise, verified company descriptions with key stats in a consistent, report-ready format."/>
        <s v="Creates a CL based on notes + CV"/>
        <s v="For all references"/>
        <s v="Produces Airbus-style executive assessment reports highlighting functional and technical expertise."/>
        <s v="Writes compelling executive position specifications"/>
        <s v="Writes executive-style candidate letters following a structured three-part evaluation framework."/>
        <s v="Produces rigorous, executive-level Experience Analysis, Key Achievements, and Functional Summary sections for Hensoldt assessment reports."/>
        <s v="OneNote Connector"/>
        <s v="This GPT is to create smartpack for a Company. These smartpack contains information about the company, its executives, RRA activity on ASN, PNB and BD, latest news, Stock analysis, SWOT Analysis"/>
        <s v="Email marketer"/>
        <s v="Podcast Script Writer Agent"/>
        <s v="Global CEO Turnover Index Report Writer"/>
        <s v="Candidate Content Agent"/>
        <s v="Creates timely, news-aligned thought leadership for advisors."/>
        <s v="Analyzes and writes global executive turnover insights for leadership reports."/>
        <s v="Podcast assistant for Redefiners &amp; Leadership Loungeâ€”scripts, summaries, notes, and episode assets"/>
        <s v="Expert content marketer crafting leadership development articles for executives."/>
        <s v="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
        <s v="Creates polished campaign assets for family enterprise advisory work."/>
        <s v="Generates and prioritizes RRA-style user stories with annotated mockups based on feedback, problems, or media."/>
        <s v="Browse, search, and summarize your OneNote notebooks in read-only mode.  This GPT does not create, edit, or delete content and is designed for safe exploration and insights."/>
        <s v="Classifies healthcare companies into sub-sectors with concise, factual reasoning."/>
        <s v="Elite strategist who explains and analyzes healthcare companies and industry terms."/>
        <s v="Provides concise, structured feedback and integrates external insights into Grant Gilchristâ€™s HealthTech CEO paper."/>
        <s v="This GPT can help RRA teams to create a Company smart-pack."/>
        <s v="This GPT can generate comprehensive smart pack document which will include RRA history, connections and relationships with this person and its company"/>
        <s v="Converts transcripts into concise internal meeting notes."/>
        <s v="A tool that processes transcripts by cleaning, theming, analyzing nuance, extracting insights, and preparing outputs for different audiences."/>
        <s v="For generating Growth Factors + Potential Realization bullets in RRA slide-ready style"/>
        <s v="Cleans up and Organizes Prospect Screen Call Notes"/>
        <s v="GPT helps synthesize candidate experiences into highlights for status updates."/>
        <s v="Writes rigorous, evidence-based executive assessment reports using RRA frameworks."/>
        <s v="Erstellt Candidate Letters im RRA-Stil auf Basis eines Master Samples und spezifischen Contents."/>
        <s v="Polishes emails into professional business English or German in RRA style."/>
        <s v="Verifies company links and PE/VC backing using concise, factual summaries."/>
        <s v="Creates polished RRA-style sign-off comments from candidate feedback."/>
        <s v="Formuliert gesprochene Inputs zu fertigen Nachrichten mit passendem Ton, Formatierung und Kontextbezug."/>
        <s v="Refines and polishes dictated or spoken text in the same language."/>
        <s v="One-click study mode: structured study plan, active recall and spaced-practice exercises."/>
        <s v="Consultant Finder aims to make it dramatically easier to locate internal expertise â€” accelerating client teaming, business development, and knowledge sharing."/>
        <s v="The Historianâ€™s Lens â€” an artificial historian who interprets modern events through the analogies, patterns, and lessons of world history."/>
        <s v="Identifies Consultant Expertise in the RRA Ecosystem"/>
        <s v="Agent to suggest jokes, anecdotes, and amusing stories to fit a circumstance"/>
        <s v="Turns recruiter reference notes into polished, client-ready summaries with JC example tone."/>
        <s v="Uses transcript to summarize initial interview"/>
        <s v="Compare self appraisals and feedback with WGLL for Research"/>
        <s v="Caliper Analysis"/>
        <s v="Cross references WGLL with collated feedback"/>
        <s v="Send me my daily schedule, to-do list, business news headlines for the day, a daily affirmation, and a goal"/>
        <s v="I give a company name and you answer in the format that I can paste into a document I am building"/>
        <s v="Write an executive bio of this individual in bullets. Keep it factual/concise."/>
        <s v="Default email processing behavior and warmth calibration applied. Automatically detects, analyzes, and rewrites pasted emails with professional warmth, clarity, and directness."/>
        <s v="Creates short professional bio comments for NEDs"/>
        <s v="Designs evidence-based, inclusive learning programs for leadership advisory professionals."/>
        <s v="Use this GPT to detect if content is AI Generated. Paste in an email, article or communication and the GPT will score the likelihood that it is AI Generated."/>
        <s v="Short English company summaries with revenue, market cap, and ownership type in USD only."/>
        <s v="Transforms executive search call notes into clean, Excel-ready structured data lines for tracking contacts."/>
        <s v="Creates factual, chronological candidate letters with clear $ figures and interpretive insights."/>
        <s v="Drafts concise, factual 3â€“4 paragraph career highlights using only provided facts."/>
        <s v="Help me produce polished and clear powerpoint slides for presentations to business stakeholders and clients"/>
        <s v="You are a supportive technical lead and coach who helps a non-technical product manager reason through technical decisions, design tradeoffs, and implementation options."/>
        <s v="Creates polished Position Specifications for IT executive searches"/>
        <s v="Create a Smart Pack with key details on any individual â€” their background, current role, and our firm's relationship with them. You can ask this GPT to review, enhance, or simplify the content. To get started, simply use a prompt like: â€œCreate a Smart Pack on Marc Benioff.&quot;"/>
        <s v="You are a Lead Developer and Technical Coach helping a non-technical Product Manager who designs internal tools and business applications at a consulting firm."/>
        <s v="Creates professional leadership Position Specifications for executive search at RRA."/>
        <s v="Software Development Advisor to help me make decisions, evaluate dev effort/timelines, and learn more about the perspective and process of software development team."/>
        <s v="Create a Person Get Smart Pack to quickly understand key details about an individual â€” including their background, current role, and our firmâ€™s relationship with them. To get started, simply use a prompt like: â€œCreate a Get Smart Pack on Bennett Reading.â€"/>
        <s v="Dig the web"/>
        <s v="Profile Search Ideas (internally and externally)"/>
        <s v="Profile Search Ideas"/>
        <s v="Corporate Structures"/>
        <s v="Creates professional, fact-based Candidate Letters (CLs) for Russell Reynolds Associates."/>
        <s v="Notes for candidates one pagers for status reports"/>
        <s v="Writes candidate reports"/>
        <s v="Expert in designing roles with clear performance milestones and ideal profiles."/>
        <s v="Expert organization designer specializing in clarifying critical role challenges."/>
        <s v="A psychometric expert that crafts and refines reports in your preferred tone and style."/>
        <s v="An expert industrial psychologist who helps craft executive assessment reports."/>
        <s v="Instantly creates full SmartPack drafts for Karalee Close."/>
        <s v="Trusted advisor and storyteller crafting authentic, strategic pitch intros."/>
        <s v="Writes balanced, tailored Regal Rexnord candidate letters."/>
        <s v="Strictly enforces fuzzy role consistency and a hard max of 30 Top Cred projects, with dynamic tightening and mandatory truncation if exceeded."/>
        <s v="Business-savvy research assistant for finding relevant RRA projects."/>
        <s v="Your intelligent assistant for discovering the most relevant RRA project credentials for your task at hand."/>
        <s v="Basic 150 word summary for SM comments"/>
        <s v="Write a first draft of Constantine's YE appraisals based on various pieces of input."/>
        <s v="You are a succession and governance advisor that provides concise, trusted insights on CEO succession and Board governance-related topics."/>
        <s v="You are an executive briefing assistant that prepares consistent, reliable â€œMeeting Smart Packs&quot;. Your purpose is to prepare concise, credible, and well-structured briefings for meetings with senior executives."/>
        <s v="You are an industry trend advisor that provides concise, high-impact industry and leadership insights."/>
        <s v="Hello! Ask me any questions you have about ChatGPT Pro and it's capabilities. You can use these Quick Start prompts below to get started."/>
        <s v="This GPT reads a meeting summary and extracts the key action points for your team or department"/>
        <s v="Create promotional email, landing page and LinkedIn post for promotional event"/>
        <s v="Allow user to search article on RRA Insights, creates talking points, Linkedin post and email about article"/>
        <s v="An  assistant to help RRA employees understand the firmâ€™s AI Policy. Ask the GPT how to responsibly use AI tools in daily work. Use these quick start prompts below to help get you started"/>
        <s v="Evaluates FYF progress, metrics, and feedback to craft next-year goals."/>
        <s v="deliver deterministic, auditable credit allocation recommendations for winning business, using a rules first approach"/>
        <s v="An AI assistant that helps RRA employeesHelping RRA employees navigate AI policy with clarity and confidence."/>
        <s v="This GPT reads meeting summary and extracts the key action points for your team or department"/>
        <s v="write exec level emails"/>
        <s v="Capture CEO notes, follow up actions, and email a client after meeting."/>
        <s v="Creates concise, structured Support Briefs for senior executives, modeled on Russell Reynolds Associatesâ€™. This GPT generates professional, fact-based summaries ready for pre-meeting briefing use."/>
        <s v="write a reviews based on your writing style and tone"/>
        <s v="Guides users to design a custom GPT step by step."/>
        <s v="Automatically cleans and elevates raw notes into client-ready documentation."/>
        <s v="Cleans raw notes into clear, professional documents."/>
        <s v="testing the sync"/>
        <s v="Helps with cybersecurity operations, risk assessment, and threat analysis."/>
        <s v="Coach that logs runs to one CSV and shows progress toward a half marathon."/>
        <s v="Relevant missed information from Outlook and Slack."/>
        <s v="Creates cohesive, anonymized case studies and flags unrelated projects."/>
        <s v="Synthesizes stakeholder interview notes into structured leadership success profiles."/>
        <s v="Helps you craft thoughtful, balanced self and peer performance reviews."/>
        <s v="Coordinates change leadership projects, tracking deliverables and timelines."/>
        <s v="An expert in organizational change and leadership development materials."/>
        <s v="Expert performance review GPT for managers. Before using this GPT, managers should reference their notes and the documents downloaded from the â€œStakeholder Feedbackâ€ section in the employeeâ€™s YE appraisal."/>
        <s v="This GPT will help to parse e-mail exchanges about leaves, identify relevant information, and create a summary document for data input into Workday"/>
        <s v="Creates formal, factual candidate letters with a narrative and verifiable focus."/>
        <s v="Finds Vijuraj Eranazhathâ€™s in-person client meetings with city tags"/>
        <s v="Creates compliant, polished candidate emails for recruiting."/>
        <s v="Drafts invoice and follow-up emails using Pamâ€™s exact phrasing and tone."/>
        <s v="RRA search coâ€‘pilot that tunes each query with your perâ€‘search inputs."/>
        <s v="Draft concise, tone-aware emails with subject lines, variants, and follow-ups."/>
        <s v="Delivers daily organization and leadership news briefs for select clients."/>
        <s v="Analyzes Hogan results and produces concise leadership reports in business language."/>
        <s v="Use this GPT to get data ready for analysis and report production."/>
        <s v="Extracts CPP data from reports then writes a summary"/>
        <s v="Takes uploaded 360 notes and identifies themes"/>
        <s v="Extracts metrics from Excel and updates PowerPoints."/>
        <s v="Turns rough client call notes into structured summaries with bullet-style themes and feedback."/>
        <s v="Trusted comms advisor focused on strategy and audience engagement."/>
        <s v="Professional planner for RRA team events."/>
        <s v="Analyzes Outlook and work data to reveal leadership potential and growth paths."/>
        <s v="Cleans newsletters, emails, or text dumps by removing event listings, contact/masthead blocks, and sponsored content. Returns JSON with the cleaned text and a removal audit."/>
        <s v="Removes event listings, contact/masthead blocks and sponsored sections from text and returns a strict JSON audit"/>
        <s v="Research analyst that builds clear, defensible target company lists."/>
        <s v="Creates authentic, flexible LinkedIn posts blending AI, security, and leadership insights."/>
        <s v="help me work efficiently and smarter"/>
        <s v="Secure RRA assistant with clear, professional language (no contractions)."/>
        <s v="This transcribes zoom transcripts of interview notes into my format."/>
        <s v="Summarize meeting notes with clear succinct bullets with action items, key insights, owners, deadlines, and links."/>
        <s v="Analyzes job descriptions to assess AI task automation and generate dashboards."/>
        <s v="Create Brand Houses aligned to our MarComms Personal Brand training"/>
        <s v="Automates the extraction and coding of monthly stationery invoices from Automation Graphics. It reads invoice PDFs, maps each office to its correct budget code, and generates a polished email summary ready to send to Accounts Payable for payment processing."/>
        <s v="Self-Appraisal GPT helps you craft thoughtful, authentic, and strategic reflections for your yearly performance review. It analyzes your past reviews, achievements, and career goals to generate clear, impactful responses that highlight your growth, contributions, and future priorities."/>
        <s v="SLT Update GPT converts the inconsistent, lengthy MarComms Weekly Summary into a polished SLT Update. The model must rewrite, refine, filter for relevance, and format content exactly as specified."/>
        <s v="Review Amy Scissonsâ€™s calendar for the upcoming week and create a polished â€œAgenda Snapshotâ€ email that mirrors the reference sample provided."/>
        <s v="An assistant that reads invoices and instantly generates your AP submission email with the correct coding, description, and formatted template."/>
        <s v="Input: Paste in a Meeting Transcript, Agenda, and Short-Hand Notes  Output: A formatted summary of the meeting with action items, key discussion points, and next steps"/>
        <s v="Streamline the onboarding process for new co-hosts of the Redefiners podcast. This agent will automatically generate three key outputs: welcome email, social media promotion, and Q&amp;A session script."/>
        <s v="This agent is designed to determine the merits of external guest recommendations for Redefiners Episodes."/>
        <s v="A self-awareness and strategy assistant for Sarah Lermsider, designed to analyze work patterns, reinforce RRA standards, and support growth."/>
        <s v="Your LinkedIn writing partner for Russell Reynolds Associates. This GPT helps consultants transform their insights, experiences, and content into authentic, on-brand LinkedIn posts that reflect their unique voice while aligning with the firmâ€™s personal brand principles."/>
        <s v="You are a smart lead assignment assistant for a marketing team. Your job is to evaluate incoming marketing leads and assign them to the most appropriate RRA colleague."/>
        <s v="Translates text"/>
        <s v="Get information from a Sharepoint Online Site"/>
        <s v="Manages emails and calendar events in Microsoft Outlook"/>
        <s v="Assess a client and/or candidate"/>
        <s v="Friendly assistant guiding new hires through their first 90 days."/>
        <s v="Builds Salesforceâ€“SQL PowerShell scripts with auth, timestamped logs, and environment-based defaults."/>
        <s v="Gives a daily summary of outstanding tasks on first use each day."/>
        <s v="Helps design and define a Marketing Ops AI team member."/>
        <s v="single prompts"/>
        <s v="A senior-level copywriter creating authoritative, SEO-optimized leadership content."/>
        <s v="A leadership-focused copywriter crafting SEO-rich, diagnostic web content for senior executives."/>
        <s v="Strategic and empathetic coach helping Susie strengthen influence, trust, and leadership."/>
        <s v="A warm but authoritative content marketing leader and trusted advisor."/>
        <s v="Expert global content marketing manager for executive audiences."/>
        <s v="A senior B2B copywriter crafting distinctive, advisor-led Insights for CHRO audiences."/>
        <s v="Expert data journalist analyzing and explaining CEO turnover trends."/>
        <s v="Expert content editor that scores and optimizes executive-level digital content for impact and SEO."/>
        <s v="daily"/>
        <s v="Development chats"/>
        <s v="Cleans and polishes reference interview transcripts for executive search work."/>
        <s v="Fetch information from a Genie space about Santa's reindeer"/>
        <s v="GPT for answering AskRRA questions"/>
        <s v="This GPT finds topics in open-ended responses"/>
        <s v="Hooked up to Genie via Databricks MCP server"/>
        <s v="Answers AskRRA questions about personnel policies"/>
        <s v="Retrieve information about company leaders from BoardEx"/>
        <s v="Training a GPT to help write Executive Assessment reports, in particular the B&amp;E sections"/>
        <s v="CL's in my personal style"/>
        <s v="Analyzes job specs and outputs keyword tables with insights and search-optimized Boolean lists including importance and assessment data."/>
        <s v="The agent will take information from a high-level gantt chart and draft an engagement letter."/>
        <s v="This GPT will scan notes from previous meetings and project plan and take this information to draft meeting agendas."/>
        <s v="RRA-style Word reference guide outlining the standard method for assessment tracker analysis."/>
        <s v="Create a Smart Pack with key insights about a company â€” including financial highlights, recent news, and our firmâ€™s relationship with them. You can ask this GPT to review, enhance, or simplify the content. To get started, simply use a prompt like:"/>
        <s v="Create a Smart Pack with key details on an individual person â€” their background, current role, and our firm's relationship with them. You can ask this GPT to review, enhance, or simplify the content. To get started, simply use a prompt like:"/>
        <s v="Routes User To GPT"/>
        <s v="GPT Tester"/>
        <s v="Fix JSON formats"/>
        <s v="This GPT can Q&amp;A on Assignment/PNB  data"/>
        <s v="Automatically translates between English and Japanese with three tone variations."/>
        <s v="Upload Excel File for analysis and set date range."/>
        <s v="Upload the latest Global Variance excel and instruct the GPT to &quot;Please run the report&quot;"/>
        <s v="Upload Post Close excel and say &quot;Generate the Firm Services email from the attached workbook and return the final email body&quot;"/>
        <s v="Helps you with the administrative part of the DPIA"/>
        <s v="Uses the Client Summary &amp; Outreach Template to deliver adaptive client updates and personalized follow-ups."/>
      </sharedItems>
    </cacheField>
    <cacheField name="is_active" numFmtId="0">
      <sharedItems containsSemiMixedTypes="0" containsString="0" containsNumber="1" containsInteger="1" minValue="0" maxValue="1"/>
    </cacheField>
    <cacheField name="first_day_active_in_period" numFmtId="0">
      <sharedItems containsNonDate="0" containsDate="1" containsString="0" containsBlank="1" minDate="2025-12-01T00:00:00" maxDate="2025-12-31T00:00:00"/>
    </cacheField>
    <cacheField name="last_day_active_in_period" numFmtId="0">
      <sharedItems containsNonDate="0" containsDate="1" containsString="0" containsBlank="1" minDate="2025-12-01T00:00:00" maxDate="2026-01-01T00:00:00"/>
    </cacheField>
    <cacheField name="messages_workspace" numFmtId="0">
      <sharedItems containsSemiMixedTypes="0" containsString="0" containsNumber="1" containsInteger="1" minValue="0" maxValue="2810"/>
    </cacheField>
    <cacheField name="unique_messagers_workspace" numFmtId="0">
      <sharedItems containsSemiMixedTypes="0" containsString="0" containsNumber="1" containsInteger="1" minValue="0" maxValue="193"/>
    </cacheField>
    <cacheField name="gpt_creator_email" numFmtId="0">
      <sharedItems containsBlank="1"/>
    </cacheField>
    <cacheField name="Exclu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0">
  <r>
    <s v="Monthly"/>
    <x v="0"/>
    <d v="2025-12-31T00:00:00"/>
    <x v="0"/>
    <x v="0"/>
    <x v="0"/>
    <n v="0"/>
    <m/>
    <m/>
    <n v="0"/>
    <n v="0"/>
    <s v="abilash.sivakumar@russellreynolds.com"/>
    <s v="Keep"/>
  </r>
  <r>
    <s v="Monthly"/>
    <x v="0"/>
    <d v="2025-12-31T00:00:00"/>
    <x v="1"/>
    <x v="0"/>
    <x v="1"/>
    <n v="0"/>
    <m/>
    <m/>
    <n v="0"/>
    <n v="0"/>
    <s v="abilash.sivakumar@russellreynolds.com"/>
    <s v="Keep"/>
  </r>
  <r>
    <s v="Monthly"/>
    <x v="0"/>
    <d v="2025-12-31T00:00:00"/>
    <x v="2"/>
    <x v="1"/>
    <x v="0"/>
    <n v="0"/>
    <m/>
    <m/>
    <n v="0"/>
    <n v="0"/>
    <s v="aditi.banerjee@russellreynolds.com"/>
    <s v="Keep"/>
  </r>
  <r>
    <s v="Monthly"/>
    <x v="0"/>
    <d v="2025-12-31T00:00:00"/>
    <x v="3"/>
    <x v="1"/>
    <x v="2"/>
    <n v="1"/>
    <d v="2025-12-09T00:00:00"/>
    <d v="2025-12-09T00:00:00"/>
    <n v="4"/>
    <n v="1"/>
    <s v="aidan.pelino@russellreynolds.com"/>
    <s v="Keep"/>
  </r>
  <r>
    <s v="Monthly"/>
    <x v="0"/>
    <d v="2025-12-31T00:00:00"/>
    <x v="2"/>
    <x v="1"/>
    <x v="0"/>
    <n v="0"/>
    <m/>
    <m/>
    <n v="0"/>
    <n v="0"/>
    <s v="aimee.williamson@russellreynolds.com"/>
    <s v="Keep"/>
  </r>
  <r>
    <s v="Monthly"/>
    <x v="0"/>
    <d v="2025-12-31T00:00:00"/>
    <x v="4"/>
    <x v="1"/>
    <x v="3"/>
    <n v="0"/>
    <m/>
    <m/>
    <n v="0"/>
    <n v="0"/>
    <s v="aimee.williamson@russellreynolds.com"/>
    <s v="Keep"/>
  </r>
  <r>
    <s v="Monthly"/>
    <x v="0"/>
    <d v="2025-12-31T00:00:00"/>
    <x v="2"/>
    <x v="1"/>
    <x v="0"/>
    <n v="0"/>
    <m/>
    <m/>
    <n v="0"/>
    <n v="0"/>
    <s v="ajeet.mishra@russellreynolds.com"/>
    <s v="Keep"/>
  </r>
  <r>
    <s v="Monthly"/>
    <x v="0"/>
    <d v="2025-12-31T00:00:00"/>
    <x v="5"/>
    <x v="0"/>
    <x v="4"/>
    <n v="1"/>
    <d v="2025-12-12T00:00:00"/>
    <d v="2025-12-19T00:00:00"/>
    <n v="12"/>
    <n v="2"/>
    <s v="alejandro.ortiz@russellreynolds.com"/>
    <s v="Keep"/>
  </r>
  <r>
    <s v="Monthly"/>
    <x v="0"/>
    <d v="2025-12-31T00:00:00"/>
    <x v="6"/>
    <x v="0"/>
    <x v="0"/>
    <n v="1"/>
    <d v="2025-12-17T00:00:00"/>
    <d v="2025-12-30T00:00:00"/>
    <n v="175"/>
    <n v="2"/>
    <s v="alejandro.ortiz@russellreynolds.com"/>
    <s v="Keep"/>
  </r>
  <r>
    <s v="Monthly"/>
    <x v="0"/>
    <d v="2025-12-31T00:00:00"/>
    <x v="7"/>
    <x v="0"/>
    <x v="0"/>
    <n v="1"/>
    <d v="2025-12-09T00:00:00"/>
    <d v="2025-12-12T00:00:00"/>
    <n v="2"/>
    <n v="1"/>
    <s v="alejandro.ortiz@russellreynolds.com"/>
    <s v="Keep"/>
  </r>
  <r>
    <s v="Monthly"/>
    <x v="0"/>
    <d v="2025-12-31T00:00:00"/>
    <x v="8"/>
    <x v="0"/>
    <x v="0"/>
    <n v="1"/>
    <d v="2025-12-02T00:00:00"/>
    <d v="2025-12-10T00:00:00"/>
    <n v="14"/>
    <n v="1"/>
    <s v="alejandro.ortiz@russellreynolds.com"/>
    <s v="Keep"/>
  </r>
  <r>
    <s v="Monthly"/>
    <x v="0"/>
    <d v="2025-12-31T00:00:00"/>
    <x v="9"/>
    <x v="0"/>
    <x v="5"/>
    <n v="1"/>
    <d v="2025-12-01T00:00:00"/>
    <d v="2025-12-19T00:00:00"/>
    <n v="33"/>
    <n v="1"/>
    <s v="alejandro.ortiz@russellreynolds.com"/>
    <s v="Keep"/>
  </r>
  <r>
    <s v="Monthly"/>
    <x v="0"/>
    <d v="2025-12-31T00:00:00"/>
    <x v="10"/>
    <x v="0"/>
    <x v="6"/>
    <n v="1"/>
    <d v="2025-12-11T00:00:00"/>
    <d v="2025-12-23T00:00:00"/>
    <n v="118"/>
    <n v="1"/>
    <s v="alejandro.ortiz@russellreynolds.com"/>
    <s v="Keep"/>
  </r>
  <r>
    <s v="Monthly"/>
    <x v="0"/>
    <d v="2025-12-31T00:00:00"/>
    <x v="11"/>
    <x v="1"/>
    <x v="7"/>
    <n v="1"/>
    <d v="2025-12-03T00:00:00"/>
    <d v="2025-12-03T00:00:00"/>
    <n v="2"/>
    <n v="1"/>
    <s v="aleks.trpkovska@russellreynolds.com"/>
    <s v="Keep"/>
  </r>
  <r>
    <s v="Monthly"/>
    <x v="0"/>
    <d v="2025-12-31T00:00:00"/>
    <x v="2"/>
    <x v="1"/>
    <x v="0"/>
    <n v="1"/>
    <d v="2025-12-02T00:00:00"/>
    <d v="2025-12-02T00:00:00"/>
    <n v="1"/>
    <n v="1"/>
    <s v="alessandro.melloni@russellreynolds.com"/>
    <s v="Keep"/>
  </r>
  <r>
    <s v="Monthly"/>
    <x v="0"/>
    <d v="2025-12-31T00:00:00"/>
    <x v="12"/>
    <x v="0"/>
    <x v="8"/>
    <n v="1"/>
    <d v="2025-12-18T00:00:00"/>
    <d v="2025-12-18T00:00:00"/>
    <n v="4"/>
    <n v="1"/>
    <s v="alessandro.melloni@russellreynolds.com"/>
    <s v="Keep"/>
  </r>
  <r>
    <s v="Monthly"/>
    <x v="0"/>
    <d v="2025-12-31T00:00:00"/>
    <x v="13"/>
    <x v="0"/>
    <x v="9"/>
    <n v="1"/>
    <d v="2025-12-01T00:00:00"/>
    <d v="2025-12-18T00:00:00"/>
    <n v="30"/>
    <n v="1"/>
    <s v="alessandro.melloni@russellreynolds.com"/>
    <s v="Keep"/>
  </r>
  <r>
    <s v="Monthly"/>
    <x v="0"/>
    <d v="2025-12-31T00:00:00"/>
    <x v="2"/>
    <x v="1"/>
    <x v="0"/>
    <n v="0"/>
    <m/>
    <m/>
    <n v="0"/>
    <n v="0"/>
    <s v="alessandro.melloni@russellreynolds.com"/>
    <s v="Keep"/>
  </r>
  <r>
    <s v="Monthly"/>
    <x v="0"/>
    <d v="2025-12-31T00:00:00"/>
    <x v="2"/>
    <x v="1"/>
    <x v="0"/>
    <n v="0"/>
    <m/>
    <m/>
    <n v="0"/>
    <n v="0"/>
    <s v="alex.boyd@russellreynolds.com"/>
    <s v="Keep"/>
  </r>
  <r>
    <s v="Monthly"/>
    <x v="0"/>
    <d v="2025-12-31T00:00:00"/>
    <x v="14"/>
    <x v="1"/>
    <x v="10"/>
    <n v="0"/>
    <m/>
    <m/>
    <n v="0"/>
    <n v="0"/>
    <s v="alex.boyd@russellreynolds.com"/>
    <s v="Keep"/>
  </r>
  <r>
    <s v="Monthly"/>
    <x v="0"/>
    <d v="2025-12-31T00:00:00"/>
    <x v="15"/>
    <x v="1"/>
    <x v="11"/>
    <n v="1"/>
    <d v="2025-12-10T00:00:00"/>
    <d v="2025-12-11T00:00:00"/>
    <n v="6"/>
    <n v="1"/>
    <s v="alex.madronal@russellreynolds.com"/>
    <s v="Keep"/>
  </r>
  <r>
    <s v="Monthly"/>
    <x v="0"/>
    <d v="2025-12-31T00:00:00"/>
    <x v="2"/>
    <x v="1"/>
    <x v="0"/>
    <n v="0"/>
    <m/>
    <m/>
    <n v="0"/>
    <n v="0"/>
    <s v="alex.rangel@russellreynolds.com"/>
    <s v="Keep"/>
  </r>
  <r>
    <s v="Monthly"/>
    <x v="0"/>
    <d v="2025-12-31T00:00:00"/>
    <x v="16"/>
    <x v="0"/>
    <x v="12"/>
    <n v="1"/>
    <d v="2025-12-19T00:00:00"/>
    <d v="2025-12-19T00:00:00"/>
    <n v="3"/>
    <n v="1"/>
    <s v="alexander.prokot@russellreynolds.com"/>
    <s v="Keep"/>
  </r>
  <r>
    <s v="Monthly"/>
    <x v="0"/>
    <d v="2025-12-31T00:00:00"/>
    <x v="2"/>
    <x v="1"/>
    <x v="0"/>
    <n v="0"/>
    <m/>
    <m/>
    <n v="0"/>
    <n v="0"/>
    <s v="alexander.prokot@russellreynolds.com"/>
    <s v="Keep"/>
  </r>
  <r>
    <s v="Monthly"/>
    <x v="0"/>
    <d v="2025-12-31T00:00:00"/>
    <x v="2"/>
    <x v="1"/>
    <x v="0"/>
    <n v="1"/>
    <d v="2025-12-22T00:00:00"/>
    <d v="2025-12-22T00:00:00"/>
    <n v="1"/>
    <n v="1"/>
    <s v="alexandra.boland@russellreynolds.com"/>
    <s v="Keep"/>
  </r>
  <r>
    <s v="Monthly"/>
    <x v="0"/>
    <d v="2025-12-31T00:00:00"/>
    <x v="17"/>
    <x v="0"/>
    <x v="13"/>
    <n v="1"/>
    <d v="2025-12-23T00:00:00"/>
    <d v="2025-12-23T00:00:00"/>
    <n v="2"/>
    <n v="1"/>
    <s v="alexandra.boland@russellreynolds.com"/>
    <s v="Keep"/>
  </r>
  <r>
    <s v="Monthly"/>
    <x v="0"/>
    <d v="2025-12-31T00:00:00"/>
    <x v="18"/>
    <x v="0"/>
    <x v="14"/>
    <n v="1"/>
    <d v="2025-12-02T00:00:00"/>
    <d v="2025-12-16T00:00:00"/>
    <n v="36"/>
    <n v="1"/>
    <s v="allie.miller@russellreynolds.com"/>
    <s v="Keep"/>
  </r>
  <r>
    <s v="Monthly"/>
    <x v="0"/>
    <d v="2025-12-31T00:00:00"/>
    <x v="2"/>
    <x v="1"/>
    <x v="0"/>
    <n v="0"/>
    <m/>
    <m/>
    <n v="0"/>
    <n v="0"/>
    <s v="alyce.ellis@russellreynolds.com"/>
    <s v="Keep"/>
  </r>
  <r>
    <s v="Monthly"/>
    <x v="0"/>
    <d v="2025-12-31T00:00:00"/>
    <x v="19"/>
    <x v="0"/>
    <x v="15"/>
    <n v="1"/>
    <d v="2025-12-22T00:00:00"/>
    <d v="2025-12-22T00:00:00"/>
    <n v="5"/>
    <n v="1"/>
    <s v="amanda.ingall@russellreynolds.com"/>
    <s v="Keep"/>
  </r>
  <r>
    <s v="Monthly"/>
    <x v="0"/>
    <d v="2025-12-31T00:00:00"/>
    <x v="20"/>
    <x v="0"/>
    <x v="16"/>
    <n v="1"/>
    <d v="2025-12-10T00:00:00"/>
    <d v="2025-12-22T00:00:00"/>
    <n v="24"/>
    <n v="1"/>
    <s v="amanda.ingall@russellreynolds.com"/>
    <s v="Keep"/>
  </r>
  <r>
    <s v="Monthly"/>
    <x v="0"/>
    <d v="2025-12-31T00:00:00"/>
    <x v="21"/>
    <x v="0"/>
    <x v="17"/>
    <n v="1"/>
    <d v="2025-12-03T00:00:00"/>
    <d v="2025-12-15T00:00:00"/>
    <n v="30"/>
    <n v="1"/>
    <s v="amanda.ingall@russellreynolds.com"/>
    <s v="Keep"/>
  </r>
  <r>
    <s v="Monthly"/>
    <x v="0"/>
    <d v="2025-12-31T00:00:00"/>
    <x v="22"/>
    <x v="0"/>
    <x v="18"/>
    <n v="1"/>
    <d v="2025-12-03T00:00:00"/>
    <d v="2025-12-17T00:00:00"/>
    <n v="71"/>
    <n v="1"/>
    <s v="amanda.ingall@russellreynolds.com"/>
    <s v="Keep"/>
  </r>
  <r>
    <s v="Monthly"/>
    <x v="0"/>
    <d v="2025-12-31T00:00:00"/>
    <x v="22"/>
    <x v="1"/>
    <x v="19"/>
    <n v="0"/>
    <m/>
    <m/>
    <n v="0"/>
    <n v="0"/>
    <s v="amanda.ingall@russellreynolds.com"/>
    <s v="Keep"/>
  </r>
  <r>
    <s v="Monthly"/>
    <x v="0"/>
    <d v="2025-12-31T00:00:00"/>
    <x v="23"/>
    <x v="1"/>
    <x v="0"/>
    <n v="0"/>
    <m/>
    <m/>
    <n v="0"/>
    <n v="0"/>
    <s v="amanda.ingall@russellreynolds.com"/>
    <s v="Keep"/>
  </r>
  <r>
    <s v="Monthly"/>
    <x v="0"/>
    <d v="2025-12-31T00:00:00"/>
    <x v="2"/>
    <x v="1"/>
    <x v="0"/>
    <n v="0"/>
    <m/>
    <m/>
    <n v="0"/>
    <n v="0"/>
    <s v="amanda.ingall@russellreynolds.com"/>
    <s v="Keep"/>
  </r>
  <r>
    <s v="Monthly"/>
    <x v="0"/>
    <d v="2025-12-31T00:00:00"/>
    <x v="2"/>
    <x v="1"/>
    <x v="0"/>
    <n v="0"/>
    <m/>
    <m/>
    <n v="0"/>
    <n v="0"/>
    <s v="amanda.ingall@russellreynolds.com"/>
    <s v="Keep"/>
  </r>
  <r>
    <s v="Monthly"/>
    <x v="0"/>
    <d v="2025-12-31T00:00:00"/>
    <x v="2"/>
    <x v="1"/>
    <x v="0"/>
    <n v="0"/>
    <m/>
    <m/>
    <n v="0"/>
    <n v="0"/>
    <s v="amay.kothari@russellreynolds.com"/>
    <s v="Keep"/>
  </r>
  <r>
    <s v="Monthly"/>
    <x v="0"/>
    <d v="2025-12-31T00:00:00"/>
    <x v="2"/>
    <x v="1"/>
    <x v="0"/>
    <n v="0"/>
    <m/>
    <m/>
    <n v="0"/>
    <n v="0"/>
    <s v="amy.hayes@russellreynolds.com"/>
    <s v="Keep"/>
  </r>
  <r>
    <s v="Monthly"/>
    <x v="0"/>
    <d v="2025-12-31T00:00:00"/>
    <x v="2"/>
    <x v="1"/>
    <x v="0"/>
    <n v="0"/>
    <m/>
    <m/>
    <n v="0"/>
    <n v="0"/>
    <s v="amy.hayes@russellreynolds.com"/>
    <s v="Keep"/>
  </r>
  <r>
    <s v="Monthly"/>
    <x v="0"/>
    <d v="2025-12-31T00:00:00"/>
    <x v="24"/>
    <x v="0"/>
    <x v="20"/>
    <n v="1"/>
    <d v="2025-12-01T00:00:00"/>
    <d v="2025-12-30T00:00:00"/>
    <n v="636"/>
    <n v="77"/>
    <s v="amy.miller@russellreynolds.com"/>
    <s v="Keep"/>
  </r>
  <r>
    <s v="Monthly"/>
    <x v="0"/>
    <d v="2025-12-31T00:00:00"/>
    <x v="25"/>
    <x v="1"/>
    <x v="21"/>
    <n v="0"/>
    <m/>
    <m/>
    <n v="0"/>
    <n v="0"/>
    <s v="amy.miller@russellreynolds.com"/>
    <s v="Keep"/>
  </r>
  <r>
    <s v="Monthly"/>
    <x v="0"/>
    <d v="2025-12-31T00:00:00"/>
    <x v="2"/>
    <x v="1"/>
    <x v="0"/>
    <n v="0"/>
    <m/>
    <m/>
    <n v="0"/>
    <n v="0"/>
    <s v="amy.miller@russellreynolds.com"/>
    <s v="Keep"/>
  </r>
  <r>
    <s v="Monthly"/>
    <x v="0"/>
    <d v="2025-12-31T00:00:00"/>
    <x v="2"/>
    <x v="1"/>
    <x v="0"/>
    <n v="0"/>
    <m/>
    <m/>
    <n v="0"/>
    <n v="0"/>
    <s v="amy.miller@russellreynolds.com"/>
    <s v="Keep"/>
  </r>
  <r>
    <s v="Monthly"/>
    <x v="0"/>
    <d v="2025-12-31T00:00:00"/>
    <x v="2"/>
    <x v="1"/>
    <x v="0"/>
    <n v="0"/>
    <m/>
    <m/>
    <n v="0"/>
    <n v="0"/>
    <s v="amy.miller@russellreynolds.com"/>
    <s v="Keep"/>
  </r>
  <r>
    <s v="Monthly"/>
    <x v="0"/>
    <d v="2025-12-31T00:00:00"/>
    <x v="26"/>
    <x v="1"/>
    <x v="22"/>
    <n v="0"/>
    <m/>
    <m/>
    <n v="0"/>
    <n v="0"/>
    <s v="amy.miller@russellreynolds.com"/>
    <s v="Keep"/>
  </r>
  <r>
    <s v="Monthly"/>
    <x v="0"/>
    <d v="2025-12-31T00:00:00"/>
    <x v="27"/>
    <x v="0"/>
    <x v="23"/>
    <n v="0"/>
    <m/>
    <m/>
    <n v="0"/>
    <n v="0"/>
    <s v="amy.miller@russellreynolds.com"/>
    <s v="Keep"/>
  </r>
  <r>
    <s v="Monthly"/>
    <x v="0"/>
    <d v="2025-12-31T00:00:00"/>
    <x v="2"/>
    <x v="1"/>
    <x v="0"/>
    <n v="0"/>
    <m/>
    <m/>
    <n v="0"/>
    <n v="0"/>
    <s v="amy.miller@russellreynolds.com"/>
    <s v="Keep"/>
  </r>
  <r>
    <s v="Monthly"/>
    <x v="0"/>
    <d v="2025-12-31T00:00:00"/>
    <x v="28"/>
    <x v="0"/>
    <x v="24"/>
    <n v="1"/>
    <d v="2025-12-12T00:00:00"/>
    <d v="2025-12-12T00:00:00"/>
    <n v="2"/>
    <n v="1"/>
    <s v="amy.scissons@russellreynolds.com"/>
    <s v="Keep"/>
  </r>
  <r>
    <s v="Monthly"/>
    <x v="0"/>
    <d v="2025-12-31T00:00:00"/>
    <x v="2"/>
    <x v="1"/>
    <x v="0"/>
    <n v="0"/>
    <m/>
    <m/>
    <n v="0"/>
    <n v="0"/>
    <s v="andrew.turner@russellreynolds.com"/>
    <s v="Keep"/>
  </r>
  <r>
    <s v="Monthly"/>
    <x v="0"/>
    <d v="2025-12-31T00:00:00"/>
    <x v="29"/>
    <x v="0"/>
    <x v="25"/>
    <n v="1"/>
    <d v="2025-12-04T00:00:00"/>
    <d v="2025-12-04T00:00:00"/>
    <n v="1"/>
    <n v="1"/>
    <s v="andrew.wood@russellreynolds.com"/>
    <s v="Keep"/>
  </r>
  <r>
    <s v="Monthly"/>
    <x v="0"/>
    <d v="2025-12-31T00:00:00"/>
    <x v="2"/>
    <x v="1"/>
    <x v="0"/>
    <n v="0"/>
    <m/>
    <m/>
    <n v="0"/>
    <n v="0"/>
    <s v="andrew.wood@russellreynolds.com"/>
    <s v="Keep"/>
  </r>
  <r>
    <s v="Monthly"/>
    <x v="0"/>
    <d v="2025-12-31T00:00:00"/>
    <x v="25"/>
    <x v="1"/>
    <x v="0"/>
    <n v="0"/>
    <m/>
    <m/>
    <n v="0"/>
    <n v="0"/>
    <s v="andrew.wood@russellreynolds.com"/>
    <s v="Keep"/>
  </r>
  <r>
    <s v="Monthly"/>
    <x v="0"/>
    <d v="2025-12-31T00:00:00"/>
    <x v="2"/>
    <x v="1"/>
    <x v="0"/>
    <n v="0"/>
    <m/>
    <m/>
    <n v="0"/>
    <n v="0"/>
    <s v="andrew.wood@russellreynolds.com"/>
    <s v="Keep"/>
  </r>
  <r>
    <s v="Monthly"/>
    <x v="0"/>
    <d v="2025-12-31T00:00:00"/>
    <x v="2"/>
    <x v="1"/>
    <x v="0"/>
    <n v="0"/>
    <m/>
    <m/>
    <n v="0"/>
    <n v="0"/>
    <s v="angela.wong@russellreynolds.com"/>
    <s v="Keep"/>
  </r>
  <r>
    <s v="Monthly"/>
    <x v="0"/>
    <d v="2025-12-31T00:00:00"/>
    <x v="2"/>
    <x v="1"/>
    <x v="0"/>
    <n v="1"/>
    <d v="2025-12-11T00:00:00"/>
    <d v="2025-12-11T00:00:00"/>
    <n v="1"/>
    <n v="1"/>
    <s v="angelina.riet@russellreynolds.com"/>
    <s v="Keep"/>
  </r>
  <r>
    <s v="Monthly"/>
    <x v="0"/>
    <d v="2025-12-31T00:00:00"/>
    <x v="30"/>
    <x v="0"/>
    <x v="26"/>
    <n v="1"/>
    <d v="2025-12-02T00:00:00"/>
    <d v="2025-12-02T00:00:00"/>
    <n v="2"/>
    <n v="1"/>
    <s v="anika.nagahiro@russellreynolds.com"/>
    <s v="Keep"/>
  </r>
  <r>
    <s v="Monthly"/>
    <x v="0"/>
    <d v="2025-12-31T00:00:00"/>
    <x v="31"/>
    <x v="0"/>
    <x v="0"/>
    <n v="1"/>
    <d v="2025-12-02T00:00:00"/>
    <d v="2025-12-02T00:00:00"/>
    <n v="4"/>
    <n v="1"/>
    <s v="anika.nagahiro@russellreynolds.com"/>
    <s v="Keep"/>
  </r>
  <r>
    <s v="Monthly"/>
    <x v="0"/>
    <d v="2025-12-31T00:00:00"/>
    <x v="2"/>
    <x v="1"/>
    <x v="0"/>
    <n v="0"/>
    <m/>
    <m/>
    <n v="0"/>
    <n v="0"/>
    <s v="anna.andrews@russellreynolds.com"/>
    <s v="Keep"/>
  </r>
  <r>
    <s v="Monthly"/>
    <x v="0"/>
    <d v="2025-12-31T00:00:00"/>
    <x v="2"/>
    <x v="1"/>
    <x v="0"/>
    <n v="0"/>
    <m/>
    <m/>
    <n v="0"/>
    <n v="0"/>
    <s v="anna.sun@russellreynolds.com"/>
    <s v="Keep"/>
  </r>
  <r>
    <s v="Monthly"/>
    <x v="0"/>
    <d v="2025-12-31T00:00:00"/>
    <x v="32"/>
    <x v="1"/>
    <x v="0"/>
    <n v="0"/>
    <m/>
    <m/>
    <n v="0"/>
    <n v="0"/>
    <s v="annabelle.williams@russellreynolds.com"/>
    <s v="Keep"/>
  </r>
  <r>
    <s v="Monthly"/>
    <x v="0"/>
    <d v="2025-12-31T00:00:00"/>
    <x v="2"/>
    <x v="1"/>
    <x v="0"/>
    <n v="0"/>
    <m/>
    <m/>
    <n v="0"/>
    <n v="0"/>
    <s v="antonella.meschiari@russellreynolds.com"/>
    <s v="Keep"/>
  </r>
  <r>
    <s v="Monthly"/>
    <x v="0"/>
    <d v="2025-12-31T00:00:00"/>
    <x v="33"/>
    <x v="1"/>
    <x v="27"/>
    <n v="0"/>
    <m/>
    <m/>
    <n v="0"/>
    <n v="0"/>
    <s v="arunima.poricha@russellreynolds.com"/>
    <s v="Keep"/>
  </r>
  <r>
    <s v="Monthly"/>
    <x v="0"/>
    <d v="2025-12-31T00:00:00"/>
    <x v="2"/>
    <x v="1"/>
    <x v="0"/>
    <n v="0"/>
    <m/>
    <m/>
    <n v="0"/>
    <n v="0"/>
    <s v="ashima.jain@russellreynolds.com"/>
    <s v="Keep"/>
  </r>
  <r>
    <s v="Monthly"/>
    <x v="0"/>
    <d v="2025-12-31T00:00:00"/>
    <x v="2"/>
    <x v="1"/>
    <x v="0"/>
    <n v="0"/>
    <m/>
    <m/>
    <n v="0"/>
    <n v="0"/>
    <s v="ashish.pithawala@russellreynolds.com"/>
    <s v="Keep"/>
  </r>
  <r>
    <s v="Monthly"/>
    <x v="0"/>
    <d v="2025-12-31T00:00:00"/>
    <x v="2"/>
    <x v="1"/>
    <x v="0"/>
    <n v="0"/>
    <m/>
    <m/>
    <n v="0"/>
    <n v="0"/>
    <s v="ashish.pithawala@russellreynolds.com"/>
    <s v="Keep"/>
  </r>
  <r>
    <s v="Monthly"/>
    <x v="0"/>
    <d v="2025-12-31T00:00:00"/>
    <x v="2"/>
    <x v="1"/>
    <x v="28"/>
    <n v="1"/>
    <d v="2025-12-19T00:00:00"/>
    <d v="2025-12-19T00:00:00"/>
    <n v="4"/>
    <n v="1"/>
    <s v="ashley.alvarezcalderon@russellreynolds.com"/>
    <s v="Keep"/>
  </r>
  <r>
    <s v="Monthly"/>
    <x v="0"/>
    <d v="2025-12-31T00:00:00"/>
    <x v="2"/>
    <x v="1"/>
    <x v="0"/>
    <n v="0"/>
    <m/>
    <m/>
    <n v="0"/>
    <n v="0"/>
    <s v="ashley.wallace@russellreynolds.com"/>
    <s v="Keep"/>
  </r>
  <r>
    <s v="Monthly"/>
    <x v="0"/>
    <d v="2025-12-31T00:00:00"/>
    <x v="34"/>
    <x v="1"/>
    <x v="29"/>
    <n v="0"/>
    <m/>
    <m/>
    <n v="0"/>
    <n v="0"/>
    <s v="aumeya.goswami@russellreynolds.com"/>
    <s v="Keep"/>
  </r>
  <r>
    <s v="Monthly"/>
    <x v="0"/>
    <d v="2025-12-31T00:00:00"/>
    <x v="2"/>
    <x v="1"/>
    <x v="0"/>
    <n v="0"/>
    <m/>
    <m/>
    <n v="0"/>
    <n v="0"/>
    <s v="avery.vaughan@russellreynolds.com"/>
    <s v="Keep"/>
  </r>
  <r>
    <s v="Monthly"/>
    <x v="0"/>
    <d v="2025-12-31T00:00:00"/>
    <x v="2"/>
    <x v="1"/>
    <x v="0"/>
    <n v="0"/>
    <m/>
    <m/>
    <n v="0"/>
    <n v="0"/>
    <s v="bartek.zachara@russellreynolds.com"/>
    <s v="Keep"/>
  </r>
  <r>
    <s v="Monthly"/>
    <x v="0"/>
    <d v="2025-12-31T00:00:00"/>
    <x v="35"/>
    <x v="1"/>
    <x v="30"/>
    <n v="1"/>
    <d v="2025-12-04T00:00:00"/>
    <d v="2025-12-04T00:00:00"/>
    <n v="18"/>
    <n v="1"/>
    <s v="benjamin.yeo@russellreynolds.com"/>
    <s v="Keep"/>
  </r>
  <r>
    <s v="Monthly"/>
    <x v="0"/>
    <d v="2025-12-31T00:00:00"/>
    <x v="36"/>
    <x v="1"/>
    <x v="31"/>
    <n v="1"/>
    <d v="2025-12-12T00:00:00"/>
    <d v="2025-12-17T00:00:00"/>
    <n v="35"/>
    <n v="1"/>
    <s v="brooke.baker@russellreynolds.com"/>
    <s v="Keep"/>
  </r>
  <r>
    <s v="Monthly"/>
    <x v="0"/>
    <d v="2025-12-31T00:00:00"/>
    <x v="2"/>
    <x v="1"/>
    <x v="0"/>
    <n v="0"/>
    <m/>
    <m/>
    <n v="0"/>
    <n v="0"/>
    <s v="brooke.baker@russellreynolds.com"/>
    <s v="Keep"/>
  </r>
  <r>
    <s v="Monthly"/>
    <x v="0"/>
    <d v="2025-12-31T00:00:00"/>
    <x v="37"/>
    <x v="0"/>
    <x v="32"/>
    <n v="1"/>
    <d v="2025-12-01T00:00:00"/>
    <d v="2025-12-31T00:00:00"/>
    <n v="2810"/>
    <n v="149"/>
    <s v="bryan.gibson@russellreynolds.com"/>
    <s v="Exclude"/>
  </r>
  <r>
    <s v="Monthly"/>
    <x v="0"/>
    <d v="2025-12-31T00:00:00"/>
    <x v="38"/>
    <x v="0"/>
    <x v="33"/>
    <n v="1"/>
    <d v="2025-12-01T00:00:00"/>
    <d v="2025-12-19T00:00:00"/>
    <n v="277"/>
    <n v="36"/>
    <s v="bryan.gibson@russellreynolds.com"/>
    <s v="Exclude"/>
  </r>
  <r>
    <s v="Monthly"/>
    <x v="0"/>
    <d v="2025-12-31T00:00:00"/>
    <x v="39"/>
    <x v="0"/>
    <x v="34"/>
    <n v="1"/>
    <d v="2025-12-03T00:00:00"/>
    <d v="2025-12-26T00:00:00"/>
    <n v="93"/>
    <n v="11"/>
    <s v="bryan.gibson@russellreynolds.com"/>
    <s v="Keep"/>
  </r>
  <r>
    <s v="Monthly"/>
    <x v="0"/>
    <d v="2025-12-31T00:00:00"/>
    <x v="2"/>
    <x v="1"/>
    <x v="35"/>
    <n v="0"/>
    <m/>
    <m/>
    <n v="0"/>
    <n v="0"/>
    <s v="bryan.gibson@russellreynolds.com"/>
    <s v="Keep"/>
  </r>
  <r>
    <s v="Monthly"/>
    <x v="0"/>
    <d v="2025-12-31T00:00:00"/>
    <x v="40"/>
    <x v="1"/>
    <x v="33"/>
    <n v="0"/>
    <m/>
    <m/>
    <n v="0"/>
    <n v="0"/>
    <s v="bryan.gibson@russellreynolds.com"/>
    <s v="Exclude"/>
  </r>
  <r>
    <s v="Monthly"/>
    <x v="0"/>
    <d v="2025-12-31T00:00:00"/>
    <x v="41"/>
    <x v="0"/>
    <x v="36"/>
    <n v="0"/>
    <m/>
    <m/>
    <n v="0"/>
    <n v="0"/>
    <s v="bryan.gibson@russellreynolds.com"/>
    <s v="Keep"/>
  </r>
  <r>
    <s v="Monthly"/>
    <x v="0"/>
    <d v="2025-12-31T00:00:00"/>
    <x v="42"/>
    <x v="1"/>
    <x v="37"/>
    <n v="0"/>
    <m/>
    <m/>
    <n v="0"/>
    <n v="0"/>
    <s v="bryan.gibson@russellreynolds.com"/>
    <s v="Keep"/>
  </r>
  <r>
    <s v="Monthly"/>
    <x v="0"/>
    <d v="2025-12-31T00:00:00"/>
    <x v="43"/>
    <x v="0"/>
    <x v="38"/>
    <n v="0"/>
    <m/>
    <m/>
    <n v="0"/>
    <n v="0"/>
    <s v="bryan.gibson@russellreynolds.com"/>
    <s v="Keep"/>
  </r>
  <r>
    <s v="Monthly"/>
    <x v="0"/>
    <d v="2025-12-31T00:00:00"/>
    <x v="44"/>
    <x v="0"/>
    <x v="39"/>
    <n v="0"/>
    <m/>
    <m/>
    <n v="0"/>
    <n v="0"/>
    <s v="bryan.gibson@russellreynolds.com"/>
    <s v="Keep"/>
  </r>
  <r>
    <s v="Monthly"/>
    <x v="0"/>
    <d v="2025-12-31T00:00:00"/>
    <x v="45"/>
    <x v="1"/>
    <x v="40"/>
    <n v="0"/>
    <m/>
    <m/>
    <n v="0"/>
    <n v="0"/>
    <s v="bryan.gibson@russellreynolds.com"/>
    <s v="Keep"/>
  </r>
  <r>
    <s v="Monthly"/>
    <x v="0"/>
    <d v="2025-12-31T00:00:00"/>
    <x v="2"/>
    <x v="1"/>
    <x v="41"/>
    <n v="0"/>
    <m/>
    <m/>
    <n v="0"/>
    <n v="0"/>
    <s v="bryan.gibson@russellreynolds.com"/>
    <s v="Keep"/>
  </r>
  <r>
    <s v="Monthly"/>
    <x v="0"/>
    <d v="2025-12-31T00:00:00"/>
    <x v="46"/>
    <x v="0"/>
    <x v="32"/>
    <n v="0"/>
    <m/>
    <m/>
    <n v="0"/>
    <n v="0"/>
    <s v="bryan.gibson@russellreynolds.com"/>
    <s v="Keep"/>
  </r>
  <r>
    <s v="Monthly"/>
    <x v="0"/>
    <d v="2025-12-31T00:00:00"/>
    <x v="47"/>
    <x v="1"/>
    <x v="37"/>
    <n v="0"/>
    <m/>
    <m/>
    <n v="0"/>
    <n v="0"/>
    <s v="bryan.gibson@russellreynolds.com"/>
    <s v="Keep"/>
  </r>
  <r>
    <s v="Monthly"/>
    <x v="0"/>
    <d v="2025-12-31T00:00:00"/>
    <x v="48"/>
    <x v="0"/>
    <x v="32"/>
    <n v="0"/>
    <m/>
    <m/>
    <n v="0"/>
    <n v="0"/>
    <s v="bryan.gibson@russellreynolds.com"/>
    <s v="Keep"/>
  </r>
  <r>
    <s v="Monthly"/>
    <x v="0"/>
    <d v="2025-12-31T00:00:00"/>
    <x v="42"/>
    <x v="0"/>
    <x v="37"/>
    <n v="0"/>
    <m/>
    <m/>
    <n v="0"/>
    <n v="0"/>
    <s v="bryan.gibson@russellreynolds.com"/>
    <s v="Keep"/>
  </r>
  <r>
    <s v="Monthly"/>
    <x v="0"/>
    <d v="2025-12-31T00:00:00"/>
    <x v="49"/>
    <x v="0"/>
    <x v="32"/>
    <n v="0"/>
    <m/>
    <m/>
    <n v="0"/>
    <n v="0"/>
    <s v="bryan.gibson@russellreynolds.com"/>
    <s v="Keep"/>
  </r>
  <r>
    <s v="Monthly"/>
    <x v="0"/>
    <d v="2025-12-31T00:00:00"/>
    <x v="50"/>
    <x v="0"/>
    <x v="42"/>
    <n v="0"/>
    <m/>
    <m/>
    <n v="0"/>
    <n v="0"/>
    <s v="bryan.gibson@russellreynolds.com"/>
    <s v="Keep"/>
  </r>
  <r>
    <s v="Monthly"/>
    <x v="0"/>
    <d v="2025-12-31T00:00:00"/>
    <x v="51"/>
    <x v="0"/>
    <x v="34"/>
    <n v="0"/>
    <m/>
    <m/>
    <n v="0"/>
    <n v="0"/>
    <s v="bryan.gibson@russellreynolds.com"/>
    <s v="Keep"/>
  </r>
  <r>
    <s v="Monthly"/>
    <x v="0"/>
    <d v="2025-12-31T00:00:00"/>
    <x v="52"/>
    <x v="0"/>
    <x v="0"/>
    <n v="0"/>
    <m/>
    <m/>
    <n v="0"/>
    <n v="0"/>
    <s v="bryan.gibson@russellreynolds.com"/>
    <s v="Keep"/>
  </r>
  <r>
    <s v="Monthly"/>
    <x v="0"/>
    <d v="2025-12-31T00:00:00"/>
    <x v="53"/>
    <x v="0"/>
    <x v="43"/>
    <n v="0"/>
    <m/>
    <m/>
    <n v="0"/>
    <n v="0"/>
    <s v="bryan.gibson@russellreynolds.com"/>
    <s v="Keep"/>
  </r>
  <r>
    <s v="Monthly"/>
    <x v="0"/>
    <d v="2025-12-31T00:00:00"/>
    <x v="2"/>
    <x v="1"/>
    <x v="0"/>
    <n v="0"/>
    <m/>
    <m/>
    <n v="0"/>
    <n v="0"/>
    <s v="bryan.gibson@russellreynolds.com"/>
    <s v="Keep"/>
  </r>
  <r>
    <s v="Monthly"/>
    <x v="0"/>
    <d v="2025-12-31T00:00:00"/>
    <x v="54"/>
    <x v="0"/>
    <x v="44"/>
    <n v="0"/>
    <m/>
    <m/>
    <n v="0"/>
    <n v="0"/>
    <s v="bryan.gibson@russellreynolds.com"/>
    <s v="Keep"/>
  </r>
  <r>
    <s v="Monthly"/>
    <x v="0"/>
    <d v="2025-12-31T00:00:00"/>
    <x v="53"/>
    <x v="0"/>
    <x v="45"/>
    <n v="0"/>
    <m/>
    <m/>
    <n v="0"/>
    <n v="0"/>
    <s v="bryan.gibson@russellreynolds.com"/>
    <s v="Keep"/>
  </r>
  <r>
    <s v="Monthly"/>
    <x v="0"/>
    <d v="2025-12-31T00:00:00"/>
    <x v="55"/>
    <x v="0"/>
    <x v="32"/>
    <n v="0"/>
    <m/>
    <m/>
    <n v="0"/>
    <n v="0"/>
    <s v="bryan.gibson@russellreynolds.com"/>
    <s v="Keep"/>
  </r>
  <r>
    <s v="Monthly"/>
    <x v="0"/>
    <d v="2025-12-31T00:00:00"/>
    <x v="56"/>
    <x v="1"/>
    <x v="0"/>
    <n v="0"/>
    <m/>
    <m/>
    <n v="0"/>
    <n v="0"/>
    <s v="bryan.gibson@russellreynolds.com"/>
    <s v="Keep"/>
  </r>
  <r>
    <s v="Monthly"/>
    <x v="0"/>
    <d v="2025-12-31T00:00:00"/>
    <x v="57"/>
    <x v="0"/>
    <x v="46"/>
    <n v="0"/>
    <m/>
    <m/>
    <n v="0"/>
    <n v="0"/>
    <s v="bryan.gibson@russellreynolds.com"/>
    <s v="Keep"/>
  </r>
  <r>
    <s v="Monthly"/>
    <x v="0"/>
    <d v="2025-12-31T00:00:00"/>
    <x v="58"/>
    <x v="0"/>
    <x v="34"/>
    <n v="0"/>
    <m/>
    <m/>
    <n v="0"/>
    <n v="0"/>
    <s v="bryan.gibson@russellreynolds.com"/>
    <s v="Keep"/>
  </r>
  <r>
    <s v="Monthly"/>
    <x v="0"/>
    <d v="2025-12-31T00:00:00"/>
    <x v="59"/>
    <x v="1"/>
    <x v="33"/>
    <n v="0"/>
    <m/>
    <m/>
    <n v="0"/>
    <n v="0"/>
    <s v="bryan.gibson@russellreynolds.com"/>
    <s v="Exclude"/>
  </r>
  <r>
    <s v="Monthly"/>
    <x v="0"/>
    <d v="2025-12-31T00:00:00"/>
    <x v="60"/>
    <x v="0"/>
    <x v="41"/>
    <n v="0"/>
    <m/>
    <m/>
    <n v="0"/>
    <n v="0"/>
    <s v="bryan.gibson@russellreynolds.com"/>
    <s v="Keep"/>
  </r>
  <r>
    <s v="Monthly"/>
    <x v="0"/>
    <d v="2025-12-31T00:00:00"/>
    <x v="61"/>
    <x v="1"/>
    <x v="47"/>
    <n v="0"/>
    <m/>
    <m/>
    <n v="0"/>
    <n v="0"/>
    <s v="bryan.gibson@russellreynolds.com"/>
    <s v="Keep"/>
  </r>
  <r>
    <s v="Monthly"/>
    <x v="0"/>
    <d v="2025-12-31T00:00:00"/>
    <x v="62"/>
    <x v="1"/>
    <x v="48"/>
    <n v="0"/>
    <m/>
    <m/>
    <n v="0"/>
    <n v="0"/>
    <s v="bryan.gibson@russellreynolds.com"/>
    <s v="Keep"/>
  </r>
  <r>
    <s v="Monthly"/>
    <x v="0"/>
    <d v="2025-12-31T00:00:00"/>
    <x v="63"/>
    <x v="0"/>
    <x v="49"/>
    <n v="1"/>
    <d v="2025-12-02T00:00:00"/>
    <d v="2025-12-14T00:00:00"/>
    <n v="25"/>
    <n v="1"/>
    <s v="cameron.page@russellreynolds.com"/>
    <s v="Keep"/>
  </r>
  <r>
    <s v="Monthly"/>
    <x v="0"/>
    <d v="2025-12-31T00:00:00"/>
    <x v="2"/>
    <x v="1"/>
    <x v="0"/>
    <n v="0"/>
    <m/>
    <m/>
    <n v="0"/>
    <n v="0"/>
    <s v="cameron.page@russellreynolds.com"/>
    <s v="Keep"/>
  </r>
  <r>
    <s v="Monthly"/>
    <x v="0"/>
    <d v="2025-12-31T00:00:00"/>
    <x v="2"/>
    <x v="1"/>
    <x v="0"/>
    <n v="0"/>
    <m/>
    <m/>
    <n v="0"/>
    <n v="0"/>
    <s v="camila.amieva@russellreynolds.com"/>
    <s v="Keep"/>
  </r>
  <r>
    <s v="Monthly"/>
    <x v="0"/>
    <d v="2025-12-31T00:00:00"/>
    <x v="2"/>
    <x v="1"/>
    <x v="0"/>
    <n v="0"/>
    <m/>
    <m/>
    <n v="0"/>
    <n v="0"/>
    <s v="caris.paynter@russellreynolds.com"/>
    <s v="Keep"/>
  </r>
  <r>
    <s v="Monthly"/>
    <x v="0"/>
    <d v="2025-12-31T00:00:00"/>
    <x v="64"/>
    <x v="0"/>
    <x v="50"/>
    <n v="0"/>
    <m/>
    <m/>
    <n v="0"/>
    <n v="0"/>
    <s v="carlos.oyaga@russellreynolds.com"/>
    <s v="Keep"/>
  </r>
  <r>
    <s v="Monthly"/>
    <x v="0"/>
    <d v="2025-12-31T00:00:00"/>
    <x v="65"/>
    <x v="0"/>
    <x v="0"/>
    <n v="0"/>
    <m/>
    <m/>
    <n v="0"/>
    <n v="0"/>
    <s v="carlos.oyaga@russellreynolds.com"/>
    <s v="Keep"/>
  </r>
  <r>
    <s v="Monthly"/>
    <x v="0"/>
    <d v="2025-12-31T00:00:00"/>
    <x v="66"/>
    <x v="1"/>
    <x v="0"/>
    <n v="0"/>
    <m/>
    <m/>
    <n v="0"/>
    <n v="0"/>
    <s v="carlos.oyaga@russellreynolds.com"/>
    <s v="Keep"/>
  </r>
  <r>
    <s v="Monthly"/>
    <x v="0"/>
    <d v="2025-12-31T00:00:00"/>
    <x v="67"/>
    <x v="1"/>
    <x v="51"/>
    <n v="1"/>
    <d v="2025-12-20T00:00:00"/>
    <d v="2025-12-21T00:00:00"/>
    <n v="18"/>
    <n v="1"/>
    <s v="cat.nadeau@russellreynolds.com"/>
    <s v="Keep"/>
  </r>
  <r>
    <s v="Monthly"/>
    <x v="0"/>
    <d v="2025-12-31T00:00:00"/>
    <x v="68"/>
    <x v="1"/>
    <x v="52"/>
    <n v="1"/>
    <d v="2025-12-01T00:00:00"/>
    <d v="2025-12-02T00:00:00"/>
    <n v="48"/>
    <n v="1"/>
    <s v="cat.nadeau@russellreynolds.com"/>
    <s v="Keep"/>
  </r>
  <r>
    <s v="Monthly"/>
    <x v="0"/>
    <d v="2025-12-31T00:00:00"/>
    <x v="69"/>
    <x v="1"/>
    <x v="53"/>
    <n v="0"/>
    <m/>
    <m/>
    <n v="0"/>
    <n v="0"/>
    <s v="cat.nadeau@russellreynolds.com"/>
    <s v="Keep"/>
  </r>
  <r>
    <s v="Monthly"/>
    <x v="0"/>
    <d v="2025-12-31T00:00:00"/>
    <x v="2"/>
    <x v="1"/>
    <x v="0"/>
    <n v="0"/>
    <m/>
    <m/>
    <n v="0"/>
    <n v="0"/>
    <s v="catalina.calvet@russellreynolds.com"/>
    <s v="Keep"/>
  </r>
  <r>
    <s v="Monthly"/>
    <x v="0"/>
    <d v="2025-12-31T00:00:00"/>
    <x v="2"/>
    <x v="1"/>
    <x v="0"/>
    <n v="0"/>
    <m/>
    <m/>
    <n v="0"/>
    <n v="0"/>
    <s v="chelsea.glanville@russellreynolds.com"/>
    <s v="Keep"/>
  </r>
  <r>
    <s v="Monthly"/>
    <x v="0"/>
    <d v="2025-12-31T00:00:00"/>
    <x v="2"/>
    <x v="1"/>
    <x v="0"/>
    <n v="0"/>
    <m/>
    <m/>
    <n v="0"/>
    <n v="0"/>
    <s v="chris.chia@russellreynolds.com"/>
    <s v="Keep"/>
  </r>
  <r>
    <s v="Monthly"/>
    <x v="0"/>
    <d v="2025-12-31T00:00:00"/>
    <x v="70"/>
    <x v="0"/>
    <x v="54"/>
    <n v="1"/>
    <d v="2025-12-03T00:00:00"/>
    <d v="2025-12-19T00:00:00"/>
    <n v="22"/>
    <n v="7"/>
    <s v="chris.davis@russellreynolds.com"/>
    <s v="Keep"/>
  </r>
  <r>
    <s v="Monthly"/>
    <x v="0"/>
    <d v="2025-12-31T00:00:00"/>
    <x v="2"/>
    <x v="1"/>
    <x v="0"/>
    <n v="0"/>
    <m/>
    <m/>
    <n v="0"/>
    <n v="0"/>
    <s v="christian.komecki@russellreynolds.com"/>
    <s v="Keep"/>
  </r>
  <r>
    <s v="Monthly"/>
    <x v="0"/>
    <d v="2025-12-31T00:00:00"/>
    <x v="71"/>
    <x v="1"/>
    <x v="55"/>
    <n v="0"/>
    <m/>
    <m/>
    <n v="0"/>
    <n v="0"/>
    <s v="christian.komecki@russellreynolds.com"/>
    <s v="Keep"/>
  </r>
  <r>
    <s v="Monthly"/>
    <x v="0"/>
    <d v="2025-12-31T00:00:00"/>
    <x v="72"/>
    <x v="0"/>
    <x v="56"/>
    <n v="0"/>
    <m/>
    <m/>
    <n v="0"/>
    <n v="0"/>
    <s v="christian.komecki@russellreynolds.com"/>
    <s v="Keep"/>
  </r>
  <r>
    <s v="Monthly"/>
    <x v="0"/>
    <d v="2025-12-31T00:00:00"/>
    <x v="73"/>
    <x v="0"/>
    <x v="57"/>
    <n v="0"/>
    <m/>
    <m/>
    <n v="0"/>
    <n v="0"/>
    <s v="christine.skovholt@russellreynolds.com"/>
    <s v="Keep"/>
  </r>
  <r>
    <s v="Monthly"/>
    <x v="0"/>
    <d v="2025-12-31T00:00:00"/>
    <x v="74"/>
    <x v="0"/>
    <x v="58"/>
    <n v="0"/>
    <m/>
    <m/>
    <n v="0"/>
    <n v="0"/>
    <s v="christine.skovholt@russellreynolds.com"/>
    <s v="Keep"/>
  </r>
  <r>
    <s v="Monthly"/>
    <x v="0"/>
    <d v="2025-12-31T00:00:00"/>
    <x v="2"/>
    <x v="1"/>
    <x v="0"/>
    <n v="0"/>
    <m/>
    <m/>
    <n v="0"/>
    <n v="0"/>
    <s v="christine.skovholt@russellreynolds.com"/>
    <s v="Keep"/>
  </r>
  <r>
    <s v="Monthly"/>
    <x v="0"/>
    <d v="2025-12-31T00:00:00"/>
    <x v="75"/>
    <x v="0"/>
    <x v="59"/>
    <n v="1"/>
    <d v="2025-12-03T00:00:00"/>
    <d v="2025-12-18T00:00:00"/>
    <n v="4"/>
    <n v="2"/>
    <s v="christoph.schlegel@russellreynolds.com"/>
    <s v="Keep"/>
  </r>
  <r>
    <s v="Monthly"/>
    <x v="0"/>
    <d v="2025-12-31T00:00:00"/>
    <x v="2"/>
    <x v="1"/>
    <x v="0"/>
    <n v="0"/>
    <m/>
    <m/>
    <n v="0"/>
    <n v="0"/>
    <s v="christoph.schlegel@russellreynolds.com"/>
    <s v="Keep"/>
  </r>
  <r>
    <s v="Monthly"/>
    <x v="0"/>
    <d v="2025-12-31T00:00:00"/>
    <x v="76"/>
    <x v="0"/>
    <x v="0"/>
    <n v="1"/>
    <d v="2025-12-01T00:00:00"/>
    <d v="2025-12-30T00:00:00"/>
    <n v="193"/>
    <n v="1"/>
    <s v="claire.wilson@russellreynolds.com"/>
    <s v="Exclude"/>
  </r>
  <r>
    <s v="Monthly"/>
    <x v="0"/>
    <d v="2025-12-31T00:00:00"/>
    <x v="77"/>
    <x v="0"/>
    <x v="60"/>
    <n v="1"/>
    <d v="2025-12-01T00:00:00"/>
    <d v="2025-12-04T00:00:00"/>
    <n v="11"/>
    <n v="1"/>
    <s v="clara.marschall@russellreynolds.com"/>
    <s v="Keep"/>
  </r>
  <r>
    <s v="Monthly"/>
    <x v="0"/>
    <d v="2025-12-31T00:00:00"/>
    <x v="78"/>
    <x v="1"/>
    <x v="61"/>
    <n v="1"/>
    <d v="2025-12-03T00:00:00"/>
    <d v="2025-12-17T00:00:00"/>
    <n v="37"/>
    <n v="1"/>
    <s v="clare.snow@russellreynolds.com"/>
    <s v="Keep"/>
  </r>
  <r>
    <s v="Monthly"/>
    <x v="0"/>
    <d v="2025-12-31T00:00:00"/>
    <x v="2"/>
    <x v="1"/>
    <x v="0"/>
    <n v="0"/>
    <m/>
    <m/>
    <n v="0"/>
    <n v="0"/>
    <s v="clare.snow@russellreynolds.com"/>
    <s v="Keep"/>
  </r>
  <r>
    <s v="Monthly"/>
    <x v="0"/>
    <d v="2025-12-31T00:00:00"/>
    <x v="2"/>
    <x v="1"/>
    <x v="0"/>
    <n v="0"/>
    <m/>
    <m/>
    <n v="0"/>
    <n v="0"/>
    <s v="clare.snow@russellreynolds.com"/>
    <s v="Keep"/>
  </r>
  <r>
    <s v="Monthly"/>
    <x v="0"/>
    <d v="2025-12-31T00:00:00"/>
    <x v="2"/>
    <x v="1"/>
    <x v="0"/>
    <n v="0"/>
    <m/>
    <m/>
    <n v="0"/>
    <n v="0"/>
    <s v="clement.chatel@russellreynolds.com"/>
    <s v="Keep"/>
  </r>
  <r>
    <s v="Monthly"/>
    <x v="0"/>
    <d v="2025-12-31T00:00:00"/>
    <x v="79"/>
    <x v="0"/>
    <x v="62"/>
    <n v="1"/>
    <d v="2025-12-16T00:00:00"/>
    <d v="2025-12-18T00:00:00"/>
    <n v="6"/>
    <n v="2"/>
    <s v="cynthia.dow@russellreynolds.com"/>
    <s v="Keep"/>
  </r>
  <r>
    <s v="Monthly"/>
    <x v="0"/>
    <d v="2025-12-31T00:00:00"/>
    <x v="80"/>
    <x v="0"/>
    <x v="63"/>
    <n v="0"/>
    <m/>
    <m/>
    <n v="0"/>
    <n v="0"/>
    <s v="cynthia.dow@russellreynolds.com"/>
    <s v="Keep"/>
  </r>
  <r>
    <s v="Monthly"/>
    <x v="0"/>
    <d v="2025-12-31T00:00:00"/>
    <x v="81"/>
    <x v="0"/>
    <x v="64"/>
    <n v="0"/>
    <m/>
    <m/>
    <n v="0"/>
    <n v="0"/>
    <s v="cynthia.dow@russellreynolds.com"/>
    <s v="Keep"/>
  </r>
  <r>
    <s v="Monthly"/>
    <x v="0"/>
    <d v="2025-12-31T00:00:00"/>
    <x v="82"/>
    <x v="0"/>
    <x v="65"/>
    <n v="1"/>
    <d v="2025-12-15T00:00:00"/>
    <d v="2025-12-15T00:00:00"/>
    <n v="3"/>
    <n v="1"/>
    <s v="damini.arora@russellreynolds.com"/>
    <s v="Keep"/>
  </r>
  <r>
    <s v="Monthly"/>
    <x v="0"/>
    <d v="2025-12-31T00:00:00"/>
    <x v="83"/>
    <x v="0"/>
    <x v="66"/>
    <n v="1"/>
    <d v="2025-12-01T00:00:00"/>
    <d v="2025-12-16T00:00:00"/>
    <n v="50"/>
    <n v="1"/>
    <s v="damini.arora@russellreynolds.com"/>
    <s v="Keep"/>
  </r>
  <r>
    <s v="Monthly"/>
    <x v="0"/>
    <d v="2025-12-31T00:00:00"/>
    <x v="84"/>
    <x v="1"/>
    <x v="0"/>
    <n v="0"/>
    <m/>
    <m/>
    <n v="0"/>
    <n v="0"/>
    <s v="damini.arora@russellreynolds.com"/>
    <s v="Keep"/>
  </r>
  <r>
    <s v="Monthly"/>
    <x v="0"/>
    <d v="2025-12-31T00:00:00"/>
    <x v="2"/>
    <x v="1"/>
    <x v="0"/>
    <n v="0"/>
    <m/>
    <m/>
    <n v="0"/>
    <n v="0"/>
    <s v="damini.arora@russellreynolds.com"/>
    <s v="Keep"/>
  </r>
  <r>
    <s v="Monthly"/>
    <x v="0"/>
    <d v="2025-12-31T00:00:00"/>
    <x v="2"/>
    <x v="1"/>
    <x v="0"/>
    <n v="0"/>
    <m/>
    <m/>
    <n v="0"/>
    <n v="0"/>
    <s v="damini.arora@russellreynolds.com"/>
    <s v="Keep"/>
  </r>
  <r>
    <s v="Monthly"/>
    <x v="0"/>
    <d v="2025-12-31T00:00:00"/>
    <x v="85"/>
    <x v="1"/>
    <x v="0"/>
    <n v="0"/>
    <m/>
    <m/>
    <n v="0"/>
    <n v="0"/>
    <s v="damini.arora@russellreynolds.com"/>
    <s v="Keep"/>
  </r>
  <r>
    <s v="Monthly"/>
    <x v="0"/>
    <d v="2025-12-31T00:00:00"/>
    <x v="86"/>
    <x v="0"/>
    <x v="0"/>
    <n v="1"/>
    <d v="2025-12-17T00:00:00"/>
    <d v="2025-12-17T00:00:00"/>
    <n v="1"/>
    <n v="1"/>
    <s v="daniel.werbnik@russellreynolds.com"/>
    <s v="Keep"/>
  </r>
  <r>
    <s v="Monthly"/>
    <x v="0"/>
    <d v="2025-12-31T00:00:00"/>
    <x v="87"/>
    <x v="0"/>
    <x v="0"/>
    <n v="1"/>
    <d v="2025-12-01T00:00:00"/>
    <d v="2025-12-01T00:00:00"/>
    <n v="1"/>
    <n v="1"/>
    <s v="daniel.werbnik@russellreynolds.com"/>
    <s v="Keep"/>
  </r>
  <r>
    <s v="Monthly"/>
    <x v="0"/>
    <d v="2025-12-31T00:00:00"/>
    <x v="88"/>
    <x v="0"/>
    <x v="0"/>
    <n v="1"/>
    <d v="2025-12-01T00:00:00"/>
    <d v="2025-12-01T00:00:00"/>
    <n v="2"/>
    <n v="1"/>
    <s v="daniel.werbnik@russellreynolds.com"/>
    <s v="Keep"/>
  </r>
  <r>
    <s v="Monthly"/>
    <x v="0"/>
    <d v="2025-12-31T00:00:00"/>
    <x v="89"/>
    <x v="0"/>
    <x v="0"/>
    <n v="1"/>
    <d v="2025-12-10T00:00:00"/>
    <d v="2025-12-11T00:00:00"/>
    <n v="5"/>
    <n v="1"/>
    <s v="daniel.werbnik@russellreynolds.com"/>
    <s v="Keep"/>
  </r>
  <r>
    <s v="Monthly"/>
    <x v="0"/>
    <d v="2025-12-31T00:00:00"/>
    <x v="90"/>
    <x v="0"/>
    <x v="67"/>
    <n v="1"/>
    <d v="2025-12-02T00:00:00"/>
    <d v="2025-12-17T00:00:00"/>
    <n v="7"/>
    <n v="1"/>
    <s v="daniel.werbnik@russellreynolds.com"/>
    <s v="Keep"/>
  </r>
  <r>
    <s v="Monthly"/>
    <x v="0"/>
    <d v="2025-12-31T00:00:00"/>
    <x v="91"/>
    <x v="0"/>
    <x v="0"/>
    <n v="1"/>
    <d v="2025-12-02T00:00:00"/>
    <d v="2025-12-11T00:00:00"/>
    <n v="38"/>
    <n v="1"/>
    <s v="daniel.werbnik@russellreynolds.com"/>
    <s v="Keep"/>
  </r>
  <r>
    <s v="Monthly"/>
    <x v="0"/>
    <d v="2025-12-31T00:00:00"/>
    <x v="92"/>
    <x v="1"/>
    <x v="0"/>
    <n v="0"/>
    <m/>
    <m/>
    <n v="0"/>
    <n v="0"/>
    <s v="daniel.werbnik@russellreynolds.com"/>
    <s v="Keep"/>
  </r>
  <r>
    <s v="Monthly"/>
    <x v="0"/>
    <d v="2025-12-31T00:00:00"/>
    <x v="2"/>
    <x v="1"/>
    <x v="0"/>
    <n v="0"/>
    <m/>
    <m/>
    <n v="0"/>
    <n v="0"/>
    <s v="daniel.werbnik@russellreynolds.com"/>
    <s v="Keep"/>
  </r>
  <r>
    <s v="Monthly"/>
    <x v="0"/>
    <d v="2025-12-31T00:00:00"/>
    <x v="88"/>
    <x v="1"/>
    <x v="0"/>
    <n v="0"/>
    <m/>
    <m/>
    <n v="0"/>
    <n v="0"/>
    <s v="daniel.werbnik@russellreynolds.com"/>
    <s v="Keep"/>
  </r>
  <r>
    <s v="Monthly"/>
    <x v="0"/>
    <d v="2025-12-31T00:00:00"/>
    <x v="86"/>
    <x v="1"/>
    <x v="0"/>
    <n v="0"/>
    <m/>
    <m/>
    <n v="0"/>
    <n v="0"/>
    <s v="daniel.werbnik@russellreynolds.com"/>
    <s v="Keep"/>
  </r>
  <r>
    <s v="Monthly"/>
    <x v="0"/>
    <d v="2025-12-31T00:00:00"/>
    <x v="89"/>
    <x v="1"/>
    <x v="0"/>
    <n v="0"/>
    <m/>
    <m/>
    <n v="0"/>
    <n v="0"/>
    <s v="daniel.werbnik@russellreynolds.com"/>
    <s v="Keep"/>
  </r>
  <r>
    <s v="Monthly"/>
    <x v="0"/>
    <d v="2025-12-31T00:00:00"/>
    <x v="93"/>
    <x v="0"/>
    <x v="68"/>
    <n v="1"/>
    <d v="2025-12-01T00:00:00"/>
    <d v="2025-12-19T00:00:00"/>
    <n v="107"/>
    <n v="18"/>
    <s v="daniela.andrade@russellreynolds.com"/>
    <s v="Keep"/>
  </r>
  <r>
    <s v="Monthly"/>
    <x v="0"/>
    <d v="2025-12-31T00:00:00"/>
    <x v="94"/>
    <x v="0"/>
    <x v="69"/>
    <n v="1"/>
    <d v="2025-12-23T00:00:00"/>
    <d v="2025-12-23T00:00:00"/>
    <n v="3"/>
    <n v="1"/>
    <s v="daniela.andrade@russellreynolds.com"/>
    <s v="Keep"/>
  </r>
  <r>
    <s v="Monthly"/>
    <x v="0"/>
    <d v="2025-12-31T00:00:00"/>
    <x v="2"/>
    <x v="1"/>
    <x v="0"/>
    <n v="0"/>
    <m/>
    <m/>
    <n v="0"/>
    <n v="0"/>
    <s v="daniela.andrade@russellreynolds.com"/>
    <s v="Keep"/>
  </r>
  <r>
    <s v="Monthly"/>
    <x v="0"/>
    <d v="2025-12-31T00:00:00"/>
    <x v="95"/>
    <x v="0"/>
    <x v="70"/>
    <n v="0"/>
    <m/>
    <m/>
    <n v="0"/>
    <n v="0"/>
    <s v="daniela.andrade@russellreynolds.com"/>
    <s v="Keep"/>
  </r>
  <r>
    <s v="Monthly"/>
    <x v="0"/>
    <d v="2025-12-31T00:00:00"/>
    <x v="96"/>
    <x v="0"/>
    <x v="0"/>
    <n v="0"/>
    <m/>
    <m/>
    <n v="0"/>
    <n v="0"/>
    <s v="daniela.andrade@russellreynolds.com"/>
    <s v="Keep"/>
  </r>
  <r>
    <s v="Monthly"/>
    <x v="0"/>
    <d v="2025-12-31T00:00:00"/>
    <x v="2"/>
    <x v="1"/>
    <x v="0"/>
    <n v="0"/>
    <m/>
    <m/>
    <n v="0"/>
    <n v="0"/>
    <s v="danny.santos@russellreynolds.com"/>
    <s v="Keep"/>
  </r>
  <r>
    <s v="Monthly"/>
    <x v="0"/>
    <d v="2025-12-31T00:00:00"/>
    <x v="2"/>
    <x v="1"/>
    <x v="0"/>
    <n v="0"/>
    <m/>
    <m/>
    <n v="0"/>
    <n v="0"/>
    <s v="david.finke@russellreynolds.com"/>
    <s v="Keep"/>
  </r>
  <r>
    <s v="Monthly"/>
    <x v="0"/>
    <d v="2025-12-31T00:00:00"/>
    <x v="2"/>
    <x v="1"/>
    <x v="0"/>
    <n v="0"/>
    <m/>
    <m/>
    <n v="0"/>
    <n v="0"/>
    <s v="david.nicolet@russellreynolds.com"/>
    <s v="Keep"/>
  </r>
  <r>
    <s v="Monthly"/>
    <x v="0"/>
    <d v="2025-12-31T00:00:00"/>
    <x v="2"/>
    <x v="1"/>
    <x v="0"/>
    <n v="0"/>
    <m/>
    <m/>
    <n v="0"/>
    <n v="0"/>
    <s v="david.porter@russellreynolds.com"/>
    <s v="Keep"/>
  </r>
  <r>
    <s v="Monthly"/>
    <x v="0"/>
    <d v="2025-12-31T00:00:00"/>
    <x v="2"/>
    <x v="1"/>
    <x v="0"/>
    <n v="1"/>
    <d v="2025-12-16T00:00:00"/>
    <d v="2025-12-16T00:00:00"/>
    <n v="1"/>
    <n v="1"/>
    <s v="david.seeley@russellreynolds.com"/>
    <s v="Keep"/>
  </r>
  <r>
    <s v="Monthly"/>
    <x v="0"/>
    <d v="2025-12-31T00:00:00"/>
    <x v="97"/>
    <x v="1"/>
    <x v="71"/>
    <n v="1"/>
    <d v="2025-12-16T00:00:00"/>
    <d v="2025-12-18T00:00:00"/>
    <n v="12"/>
    <n v="1"/>
    <s v="david.seeley@russellreynolds.com"/>
    <s v="Keep"/>
  </r>
  <r>
    <s v="Monthly"/>
    <x v="0"/>
    <d v="2025-12-31T00:00:00"/>
    <x v="2"/>
    <x v="1"/>
    <x v="0"/>
    <n v="0"/>
    <m/>
    <m/>
    <n v="0"/>
    <n v="0"/>
    <s v="david.seeley@russellreynolds.com"/>
    <s v="Keep"/>
  </r>
  <r>
    <s v="Monthly"/>
    <x v="0"/>
    <d v="2025-12-31T00:00:00"/>
    <x v="2"/>
    <x v="1"/>
    <x v="0"/>
    <n v="0"/>
    <m/>
    <m/>
    <n v="0"/>
    <n v="0"/>
    <s v="david.seeley@russellreynolds.com"/>
    <s v="Keep"/>
  </r>
  <r>
    <s v="Monthly"/>
    <x v="0"/>
    <d v="2025-12-31T00:00:00"/>
    <x v="2"/>
    <x v="1"/>
    <x v="0"/>
    <n v="0"/>
    <m/>
    <m/>
    <n v="0"/>
    <n v="0"/>
    <s v="david.seeley@russellreynolds.com"/>
    <s v="Keep"/>
  </r>
  <r>
    <s v="Monthly"/>
    <x v="0"/>
    <d v="2025-12-31T00:00:00"/>
    <x v="98"/>
    <x v="1"/>
    <x v="72"/>
    <n v="1"/>
    <d v="2025-12-04T00:00:00"/>
    <d v="2025-12-04T00:00:00"/>
    <n v="3"/>
    <n v="1"/>
    <s v="dean.stamoulis@russellreynolds.com"/>
    <s v="Keep"/>
  </r>
  <r>
    <s v="Monthly"/>
    <x v="0"/>
    <d v="2025-12-31T00:00:00"/>
    <x v="2"/>
    <x v="1"/>
    <x v="0"/>
    <n v="0"/>
    <m/>
    <m/>
    <n v="0"/>
    <n v="0"/>
    <s v="dean.stamoulis@russellreynolds.com"/>
    <s v="Keep"/>
  </r>
  <r>
    <s v="Monthly"/>
    <x v="0"/>
    <d v="2025-12-31T00:00:00"/>
    <x v="18"/>
    <x v="0"/>
    <x v="73"/>
    <n v="1"/>
    <d v="2025-12-10T00:00:00"/>
    <d v="2025-12-10T00:00:00"/>
    <n v="2"/>
    <n v="1"/>
    <s v="demi.charalab@russellreynolds.com"/>
    <s v="Keep"/>
  </r>
  <r>
    <s v="Monthly"/>
    <x v="0"/>
    <d v="2025-12-31T00:00:00"/>
    <x v="99"/>
    <x v="0"/>
    <x v="74"/>
    <n v="1"/>
    <d v="2025-12-01T00:00:00"/>
    <d v="2025-12-17T00:00:00"/>
    <n v="18"/>
    <n v="1"/>
    <s v="desiree.alemansour@russellreynolds.com"/>
    <s v="Keep"/>
  </r>
  <r>
    <s v="Monthly"/>
    <x v="0"/>
    <d v="2025-12-31T00:00:00"/>
    <x v="2"/>
    <x v="1"/>
    <x v="0"/>
    <n v="0"/>
    <m/>
    <m/>
    <n v="0"/>
    <n v="0"/>
    <s v="donatella.landotti@russellreynolds.com"/>
    <s v="Keep"/>
  </r>
  <r>
    <s v="Monthly"/>
    <x v="0"/>
    <d v="2025-12-31T00:00:00"/>
    <x v="100"/>
    <x v="0"/>
    <x v="75"/>
    <n v="0"/>
    <m/>
    <m/>
    <n v="0"/>
    <n v="0"/>
    <s v="drew.brengel@russellreynolds.com"/>
    <s v="Keep"/>
  </r>
  <r>
    <s v="Monthly"/>
    <x v="0"/>
    <d v="2025-12-31T00:00:00"/>
    <x v="2"/>
    <x v="1"/>
    <x v="0"/>
    <n v="0"/>
    <m/>
    <m/>
    <n v="0"/>
    <n v="0"/>
    <s v="drew.brengel@russellreynolds.com"/>
    <s v="Keep"/>
  </r>
  <r>
    <s v="Monthly"/>
    <x v="0"/>
    <d v="2025-12-31T00:00:00"/>
    <x v="101"/>
    <x v="0"/>
    <x v="76"/>
    <n v="0"/>
    <m/>
    <m/>
    <n v="0"/>
    <n v="0"/>
    <s v="drew.brengel@russellreynolds.com"/>
    <s v="Keep"/>
  </r>
  <r>
    <s v="Monthly"/>
    <x v="0"/>
    <d v="2025-12-31T00:00:00"/>
    <x v="2"/>
    <x v="1"/>
    <x v="0"/>
    <n v="0"/>
    <m/>
    <m/>
    <n v="0"/>
    <n v="0"/>
    <s v="ebe.bonner@russellreynolds.com"/>
    <s v="Keep"/>
  </r>
  <r>
    <s v="Monthly"/>
    <x v="0"/>
    <d v="2025-12-31T00:00:00"/>
    <x v="2"/>
    <x v="1"/>
    <x v="0"/>
    <n v="0"/>
    <m/>
    <m/>
    <n v="0"/>
    <n v="0"/>
    <s v="ed.lowe@russellreynolds.com"/>
    <s v="Keep"/>
  </r>
  <r>
    <s v="Monthly"/>
    <x v="0"/>
    <d v="2025-12-31T00:00:00"/>
    <x v="102"/>
    <x v="1"/>
    <x v="77"/>
    <n v="0"/>
    <m/>
    <m/>
    <n v="0"/>
    <n v="0"/>
    <s v="ed.lowe@russellreynolds.com"/>
    <s v="Keep"/>
  </r>
  <r>
    <s v="Monthly"/>
    <x v="0"/>
    <d v="2025-12-31T00:00:00"/>
    <x v="103"/>
    <x v="0"/>
    <x v="78"/>
    <n v="1"/>
    <d v="2025-12-05T00:00:00"/>
    <d v="2025-12-16T00:00:00"/>
    <n v="33"/>
    <n v="1"/>
    <s v="ed.sweet@russellreynolds.com"/>
    <s v="Keep"/>
  </r>
  <r>
    <s v="Monthly"/>
    <x v="0"/>
    <d v="2025-12-31T00:00:00"/>
    <x v="104"/>
    <x v="1"/>
    <x v="79"/>
    <n v="0"/>
    <m/>
    <m/>
    <n v="0"/>
    <n v="0"/>
    <s v="ed.sweet@russellreynolds.com"/>
    <s v="Keep"/>
  </r>
  <r>
    <s v="Monthly"/>
    <x v="0"/>
    <d v="2025-12-31T00:00:00"/>
    <x v="105"/>
    <x v="0"/>
    <x v="80"/>
    <n v="1"/>
    <d v="2025-12-03T00:00:00"/>
    <d v="2025-12-03T00:00:00"/>
    <n v="3"/>
    <n v="1"/>
    <s v="eduardo.cordoba@russellreynolds.com"/>
    <s v="Keep"/>
  </r>
  <r>
    <s v="Monthly"/>
    <x v="0"/>
    <d v="2025-12-31T00:00:00"/>
    <x v="106"/>
    <x v="0"/>
    <x v="0"/>
    <n v="1"/>
    <d v="2025-12-16T00:00:00"/>
    <d v="2025-12-29T00:00:00"/>
    <n v="9"/>
    <n v="1"/>
    <s v="eduardo.cordoba@russellreynolds.com"/>
    <s v="Keep"/>
  </r>
  <r>
    <s v="Monthly"/>
    <x v="0"/>
    <d v="2025-12-31T00:00:00"/>
    <x v="107"/>
    <x v="0"/>
    <x v="0"/>
    <n v="1"/>
    <d v="2025-12-01T00:00:00"/>
    <d v="2025-12-29T00:00:00"/>
    <n v="59"/>
    <n v="1"/>
    <s v="eduardo.cordoba@russellreynolds.com"/>
    <s v="Keep"/>
  </r>
  <r>
    <s v="Monthly"/>
    <x v="0"/>
    <d v="2025-12-31T00:00:00"/>
    <x v="108"/>
    <x v="0"/>
    <x v="0"/>
    <n v="0"/>
    <m/>
    <m/>
    <n v="0"/>
    <n v="0"/>
    <s v="eduardo.cordoba@russellreynolds.com"/>
    <s v="Keep"/>
  </r>
  <r>
    <s v="Monthly"/>
    <x v="0"/>
    <d v="2025-12-31T00:00:00"/>
    <x v="109"/>
    <x v="1"/>
    <x v="81"/>
    <n v="1"/>
    <d v="2025-12-15T00:00:00"/>
    <d v="2025-12-17T00:00:00"/>
    <n v="63"/>
    <n v="1"/>
    <s v="ela.buczynska@russellreynolds.com"/>
    <s v="Keep"/>
  </r>
  <r>
    <s v="Monthly"/>
    <x v="0"/>
    <d v="2025-12-31T00:00:00"/>
    <x v="2"/>
    <x v="1"/>
    <x v="0"/>
    <n v="0"/>
    <m/>
    <m/>
    <n v="0"/>
    <n v="0"/>
    <s v="ela.buczynska@russellreynolds.com"/>
    <s v="Keep"/>
  </r>
  <r>
    <s v="Monthly"/>
    <x v="0"/>
    <d v="2025-12-31T00:00:00"/>
    <x v="2"/>
    <x v="1"/>
    <x v="0"/>
    <n v="0"/>
    <m/>
    <m/>
    <n v="0"/>
    <n v="0"/>
    <s v="ela.buczynska@russellreynolds.com"/>
    <s v="Keep"/>
  </r>
  <r>
    <s v="Monthly"/>
    <x v="0"/>
    <d v="2025-12-31T00:00:00"/>
    <x v="2"/>
    <x v="1"/>
    <x v="0"/>
    <n v="0"/>
    <m/>
    <m/>
    <n v="0"/>
    <n v="0"/>
    <s v="ela.buczynska@russellreynolds.com"/>
    <s v="Keep"/>
  </r>
  <r>
    <s v="Monthly"/>
    <x v="0"/>
    <d v="2025-12-31T00:00:00"/>
    <x v="110"/>
    <x v="0"/>
    <x v="82"/>
    <n v="1"/>
    <d v="2025-12-05T00:00:00"/>
    <d v="2025-12-23T00:00:00"/>
    <n v="4"/>
    <n v="1"/>
    <s v="emily.heinen@russellreynolds.com"/>
    <s v="Keep"/>
  </r>
  <r>
    <s v="Monthly"/>
    <x v="0"/>
    <d v="2025-12-31T00:00:00"/>
    <x v="111"/>
    <x v="0"/>
    <x v="83"/>
    <n v="1"/>
    <d v="2025-12-29T00:00:00"/>
    <d v="2025-12-29T00:00:00"/>
    <n v="5"/>
    <n v="1"/>
    <s v="emily.heinen@russellreynolds.com"/>
    <s v="Keep"/>
  </r>
  <r>
    <s v="Monthly"/>
    <x v="0"/>
    <d v="2025-12-31T00:00:00"/>
    <x v="112"/>
    <x v="0"/>
    <x v="84"/>
    <n v="1"/>
    <d v="2025-12-05T00:00:00"/>
    <d v="2025-12-23T00:00:00"/>
    <n v="14"/>
    <n v="1"/>
    <s v="emily.heinen@russellreynolds.com"/>
    <s v="Keep"/>
  </r>
  <r>
    <s v="Monthly"/>
    <x v="0"/>
    <d v="2025-12-31T00:00:00"/>
    <x v="113"/>
    <x v="0"/>
    <x v="85"/>
    <n v="1"/>
    <d v="2025-12-04T00:00:00"/>
    <d v="2025-12-22T00:00:00"/>
    <n v="29"/>
    <n v="1"/>
    <s v="emily.heinen@russellreynolds.com"/>
    <s v="Keep"/>
  </r>
  <r>
    <s v="Monthly"/>
    <x v="0"/>
    <d v="2025-12-31T00:00:00"/>
    <x v="114"/>
    <x v="0"/>
    <x v="86"/>
    <n v="1"/>
    <d v="2025-12-05T00:00:00"/>
    <d v="2025-12-23T00:00:00"/>
    <n v="50"/>
    <n v="1"/>
    <s v="emily.heinen@russellreynolds.com"/>
    <s v="Keep"/>
  </r>
  <r>
    <s v="Monthly"/>
    <x v="0"/>
    <d v="2025-12-31T00:00:00"/>
    <x v="2"/>
    <x v="1"/>
    <x v="0"/>
    <n v="0"/>
    <m/>
    <m/>
    <n v="0"/>
    <n v="0"/>
    <s v="emily.heinen@russellreynolds.com"/>
    <s v="Keep"/>
  </r>
  <r>
    <s v="Monthly"/>
    <x v="0"/>
    <d v="2025-12-31T00:00:00"/>
    <x v="2"/>
    <x v="1"/>
    <x v="0"/>
    <n v="0"/>
    <m/>
    <m/>
    <n v="0"/>
    <n v="0"/>
    <s v="emily.hunt@russellreynolds.com"/>
    <s v="Keep"/>
  </r>
  <r>
    <s v="Monthly"/>
    <x v="0"/>
    <d v="2025-12-31T00:00:00"/>
    <x v="115"/>
    <x v="0"/>
    <x v="87"/>
    <n v="0"/>
    <m/>
    <m/>
    <n v="0"/>
    <n v="0"/>
    <s v="emma.golen@russellreynolds.com"/>
    <s v="Keep"/>
  </r>
  <r>
    <s v="Monthly"/>
    <x v="0"/>
    <d v="2025-12-31T00:00:00"/>
    <x v="2"/>
    <x v="1"/>
    <x v="88"/>
    <n v="0"/>
    <m/>
    <m/>
    <n v="0"/>
    <n v="0"/>
    <s v="eric.chang@russellreynolds.com"/>
    <s v="Keep"/>
  </r>
  <r>
    <s v="Monthly"/>
    <x v="0"/>
    <d v="2025-12-31T00:00:00"/>
    <x v="2"/>
    <x v="1"/>
    <x v="0"/>
    <n v="0"/>
    <m/>
    <m/>
    <n v="0"/>
    <n v="0"/>
    <s v="eric.chang@russellreynolds.com"/>
    <s v="Keep"/>
  </r>
  <r>
    <s v="Monthly"/>
    <x v="0"/>
    <d v="2025-12-31T00:00:00"/>
    <x v="2"/>
    <x v="1"/>
    <x v="0"/>
    <n v="0"/>
    <m/>
    <m/>
    <n v="0"/>
    <n v="0"/>
    <s v="eric.chang@russellreynolds.com"/>
    <s v="Keep"/>
  </r>
  <r>
    <s v="Monthly"/>
    <x v="0"/>
    <d v="2025-12-31T00:00:00"/>
    <x v="116"/>
    <x v="0"/>
    <x v="89"/>
    <n v="1"/>
    <d v="2025-12-09T00:00:00"/>
    <d v="2025-12-17T00:00:00"/>
    <n v="3"/>
    <n v="1"/>
    <s v="eric.wimpfheimer@russellreynolds.com"/>
    <s v="Keep"/>
  </r>
  <r>
    <s v="Monthly"/>
    <x v="0"/>
    <d v="2025-12-31T00:00:00"/>
    <x v="117"/>
    <x v="0"/>
    <x v="90"/>
    <n v="1"/>
    <d v="2025-12-01T00:00:00"/>
    <d v="2025-12-09T00:00:00"/>
    <n v="21"/>
    <n v="1"/>
    <s v="eric.wimpfheimer@russellreynolds.com"/>
    <s v="Keep"/>
  </r>
  <r>
    <s v="Monthly"/>
    <x v="0"/>
    <d v="2025-12-31T00:00:00"/>
    <x v="2"/>
    <x v="1"/>
    <x v="0"/>
    <n v="0"/>
    <m/>
    <m/>
    <n v="0"/>
    <n v="0"/>
    <s v="florencia.schindler@russellreynolds.com"/>
    <s v="Keep"/>
  </r>
  <r>
    <s v="Monthly"/>
    <x v="0"/>
    <d v="2025-12-31T00:00:00"/>
    <x v="118"/>
    <x v="1"/>
    <x v="91"/>
    <n v="0"/>
    <m/>
    <m/>
    <n v="0"/>
    <n v="0"/>
    <s v="francesca.descher@russellreynolds.com"/>
    <s v="Keep"/>
  </r>
  <r>
    <s v="Monthly"/>
    <x v="0"/>
    <d v="2025-12-31T00:00:00"/>
    <x v="2"/>
    <x v="1"/>
    <x v="0"/>
    <n v="0"/>
    <m/>
    <m/>
    <n v="0"/>
    <n v="0"/>
    <s v="francesca.descher@russellreynolds.com"/>
    <s v="Keep"/>
  </r>
  <r>
    <s v="Monthly"/>
    <x v="0"/>
    <d v="2025-12-31T00:00:00"/>
    <x v="2"/>
    <x v="1"/>
    <x v="92"/>
    <n v="0"/>
    <m/>
    <m/>
    <n v="0"/>
    <n v="0"/>
    <s v="francesca.descher@russellreynolds.com"/>
    <s v="Keep"/>
  </r>
  <r>
    <s v="Monthly"/>
    <x v="0"/>
    <d v="2025-12-31T00:00:00"/>
    <x v="119"/>
    <x v="0"/>
    <x v="93"/>
    <n v="0"/>
    <m/>
    <m/>
    <n v="0"/>
    <n v="0"/>
    <s v="francesca.descher@russellreynolds.com"/>
    <s v="Keep"/>
  </r>
  <r>
    <s v="Monthly"/>
    <x v="0"/>
    <d v="2025-12-31T00:00:00"/>
    <x v="120"/>
    <x v="0"/>
    <x v="94"/>
    <n v="1"/>
    <d v="2025-12-02T00:00:00"/>
    <d v="2025-12-17T00:00:00"/>
    <n v="62"/>
    <n v="1"/>
    <s v="francois.geenen@russellreynolds.com"/>
    <s v="Keep"/>
  </r>
  <r>
    <s v="Monthly"/>
    <x v="0"/>
    <d v="2025-12-31T00:00:00"/>
    <x v="121"/>
    <x v="0"/>
    <x v="95"/>
    <n v="0"/>
    <m/>
    <m/>
    <n v="0"/>
    <n v="0"/>
    <s v="francois.geenen@russellreynolds.com"/>
    <s v="Keep"/>
  </r>
  <r>
    <s v="Monthly"/>
    <x v="0"/>
    <d v="2025-12-31T00:00:00"/>
    <x v="122"/>
    <x v="1"/>
    <x v="96"/>
    <n v="1"/>
    <d v="2025-12-16T00:00:00"/>
    <d v="2025-12-16T00:00:00"/>
    <n v="10"/>
    <n v="1"/>
    <s v="gabriel.czembor@russellreynolds.com"/>
    <s v="Keep"/>
  </r>
  <r>
    <s v="Monthly"/>
    <x v="0"/>
    <d v="2025-12-31T00:00:00"/>
    <x v="123"/>
    <x v="1"/>
    <x v="97"/>
    <n v="1"/>
    <d v="2025-12-22T00:00:00"/>
    <d v="2025-12-22T00:00:00"/>
    <n v="10"/>
    <n v="1"/>
    <s v="gabriel.czembor@russellreynolds.com"/>
    <s v="Keep"/>
  </r>
  <r>
    <s v="Monthly"/>
    <x v="0"/>
    <d v="2025-12-31T00:00:00"/>
    <x v="124"/>
    <x v="0"/>
    <x v="98"/>
    <n v="1"/>
    <d v="2025-12-02T00:00:00"/>
    <d v="2025-12-03T00:00:00"/>
    <n v="21"/>
    <n v="1"/>
    <s v="gabriel.czembor@russellreynolds.com"/>
    <s v="Keep"/>
  </r>
  <r>
    <s v="Monthly"/>
    <x v="0"/>
    <d v="2025-12-31T00:00:00"/>
    <x v="2"/>
    <x v="1"/>
    <x v="0"/>
    <n v="0"/>
    <m/>
    <m/>
    <n v="0"/>
    <n v="0"/>
    <s v="gabriel.czembor@russellreynolds.com"/>
    <s v="Keep"/>
  </r>
  <r>
    <s v="Monthly"/>
    <x v="0"/>
    <d v="2025-12-31T00:00:00"/>
    <x v="125"/>
    <x v="0"/>
    <x v="99"/>
    <n v="0"/>
    <m/>
    <m/>
    <n v="0"/>
    <n v="0"/>
    <s v="gabriel.czembor@russellreynolds.com"/>
    <s v="Keep"/>
  </r>
  <r>
    <s v="Monthly"/>
    <x v="0"/>
    <d v="2025-12-31T00:00:00"/>
    <x v="126"/>
    <x v="0"/>
    <x v="100"/>
    <n v="1"/>
    <d v="2025-12-03T00:00:00"/>
    <d v="2025-12-03T00:00:00"/>
    <n v="3"/>
    <n v="1"/>
    <s v="gagan.saini@russellreynolds.com"/>
    <s v="Keep"/>
  </r>
  <r>
    <s v="Monthly"/>
    <x v="0"/>
    <d v="2025-12-31T00:00:00"/>
    <x v="2"/>
    <x v="1"/>
    <x v="0"/>
    <n v="0"/>
    <m/>
    <m/>
    <n v="0"/>
    <n v="0"/>
    <s v="gagan.saini@russellreynolds.com"/>
    <s v="Keep"/>
  </r>
  <r>
    <s v="Monthly"/>
    <x v="0"/>
    <d v="2025-12-31T00:00:00"/>
    <x v="2"/>
    <x v="1"/>
    <x v="0"/>
    <n v="0"/>
    <m/>
    <m/>
    <n v="0"/>
    <n v="0"/>
    <s v="gagan.saini@russellreynolds.com"/>
    <s v="Keep"/>
  </r>
  <r>
    <s v="Monthly"/>
    <x v="0"/>
    <d v="2025-12-31T00:00:00"/>
    <x v="2"/>
    <x v="1"/>
    <x v="0"/>
    <n v="0"/>
    <m/>
    <m/>
    <n v="0"/>
    <n v="0"/>
    <s v="gagan.saini@russellreynolds.com"/>
    <s v="Keep"/>
  </r>
  <r>
    <s v="Monthly"/>
    <x v="0"/>
    <d v="2025-12-31T00:00:00"/>
    <x v="127"/>
    <x v="0"/>
    <x v="101"/>
    <n v="0"/>
    <m/>
    <m/>
    <n v="0"/>
    <n v="0"/>
    <s v="gagan.saini@russellreynolds.com"/>
    <s v="Keep"/>
  </r>
  <r>
    <s v="Monthly"/>
    <x v="0"/>
    <d v="2025-12-31T00:00:00"/>
    <x v="2"/>
    <x v="1"/>
    <x v="0"/>
    <n v="0"/>
    <m/>
    <m/>
    <n v="0"/>
    <n v="0"/>
    <s v="ganesh.chandrasekaran@russellreynolds.com"/>
    <s v="Keep"/>
  </r>
  <r>
    <s v="Monthly"/>
    <x v="0"/>
    <d v="2025-12-31T00:00:00"/>
    <x v="2"/>
    <x v="1"/>
    <x v="0"/>
    <n v="0"/>
    <m/>
    <m/>
    <n v="0"/>
    <n v="0"/>
    <s v="ganesh.chandrasekaran@russellreynolds.com"/>
    <s v="Keep"/>
  </r>
  <r>
    <s v="Monthly"/>
    <x v="0"/>
    <d v="2025-12-31T00:00:00"/>
    <x v="128"/>
    <x v="1"/>
    <x v="102"/>
    <n v="1"/>
    <d v="2025-12-11T00:00:00"/>
    <d v="2025-12-11T00:00:00"/>
    <n v="1"/>
    <n v="1"/>
    <s v="gemma.fell@russellreynolds.com"/>
    <s v="Keep"/>
  </r>
  <r>
    <s v="Monthly"/>
    <x v="0"/>
    <d v="2025-12-31T00:00:00"/>
    <x v="129"/>
    <x v="1"/>
    <x v="103"/>
    <n v="1"/>
    <d v="2025-12-11T00:00:00"/>
    <d v="2025-12-19T00:00:00"/>
    <n v="6"/>
    <n v="1"/>
    <s v="gemma.fell@russellreynolds.com"/>
    <s v="Keep"/>
  </r>
  <r>
    <s v="Monthly"/>
    <x v="0"/>
    <d v="2025-12-31T00:00:00"/>
    <x v="130"/>
    <x v="1"/>
    <x v="104"/>
    <n v="1"/>
    <d v="2025-12-03T00:00:00"/>
    <d v="2025-12-03T00:00:00"/>
    <n v="9"/>
    <n v="1"/>
    <s v="gemma.fell@russellreynolds.com"/>
    <s v="Keep"/>
  </r>
  <r>
    <s v="Monthly"/>
    <x v="0"/>
    <d v="2025-12-31T00:00:00"/>
    <x v="131"/>
    <x v="1"/>
    <x v="105"/>
    <n v="1"/>
    <d v="2025-12-04T00:00:00"/>
    <d v="2025-12-19T00:00:00"/>
    <n v="154"/>
    <n v="1"/>
    <s v="gemma.fell@russellreynolds.com"/>
    <s v="Keep"/>
  </r>
  <r>
    <s v="Monthly"/>
    <x v="0"/>
    <d v="2025-12-31T00:00:00"/>
    <x v="132"/>
    <x v="1"/>
    <x v="106"/>
    <n v="0"/>
    <m/>
    <m/>
    <n v="0"/>
    <n v="0"/>
    <s v="gemma.fell@russellreynolds.com"/>
    <s v="Keep"/>
  </r>
  <r>
    <s v="Monthly"/>
    <x v="0"/>
    <d v="2025-12-31T00:00:00"/>
    <x v="2"/>
    <x v="1"/>
    <x v="107"/>
    <n v="0"/>
    <m/>
    <m/>
    <n v="0"/>
    <n v="0"/>
    <s v="gemma.fell@russellreynolds.com"/>
    <s v="Keep"/>
  </r>
  <r>
    <s v="Monthly"/>
    <x v="0"/>
    <d v="2025-12-31T00:00:00"/>
    <x v="133"/>
    <x v="1"/>
    <x v="108"/>
    <n v="0"/>
    <m/>
    <m/>
    <n v="0"/>
    <n v="0"/>
    <s v="gemma.fell@russellreynolds.com"/>
    <s v="Keep"/>
  </r>
  <r>
    <s v="Monthly"/>
    <x v="0"/>
    <d v="2025-12-31T00:00:00"/>
    <x v="134"/>
    <x v="1"/>
    <x v="109"/>
    <n v="0"/>
    <m/>
    <m/>
    <n v="0"/>
    <n v="0"/>
    <s v="gemma.fell@russellreynolds.com"/>
    <s v="Keep"/>
  </r>
  <r>
    <s v="Monthly"/>
    <x v="0"/>
    <d v="2025-12-31T00:00:00"/>
    <x v="135"/>
    <x v="1"/>
    <x v="110"/>
    <n v="0"/>
    <m/>
    <m/>
    <n v="0"/>
    <n v="0"/>
    <s v="gemma.fell@russellreynolds.com"/>
    <s v="Keep"/>
  </r>
  <r>
    <s v="Monthly"/>
    <x v="0"/>
    <d v="2025-12-31T00:00:00"/>
    <x v="136"/>
    <x v="1"/>
    <x v="111"/>
    <n v="0"/>
    <m/>
    <m/>
    <n v="0"/>
    <n v="0"/>
    <s v="gemma.fell@russellreynolds.com"/>
    <s v="Keep"/>
  </r>
  <r>
    <s v="Monthly"/>
    <x v="0"/>
    <d v="2025-12-31T00:00:00"/>
    <x v="137"/>
    <x v="0"/>
    <x v="112"/>
    <n v="0"/>
    <m/>
    <m/>
    <n v="0"/>
    <n v="0"/>
    <s v="gerald.asante@russellreynolds.com"/>
    <s v="Keep"/>
  </r>
  <r>
    <s v="Monthly"/>
    <x v="0"/>
    <d v="2025-12-31T00:00:00"/>
    <x v="138"/>
    <x v="0"/>
    <x v="113"/>
    <n v="1"/>
    <d v="2025-12-18T00:00:00"/>
    <d v="2025-12-22T00:00:00"/>
    <n v="67"/>
    <n v="4"/>
    <s v="gowtham.kanchi@russellreynolds.com"/>
    <s v="Keep"/>
  </r>
  <r>
    <s v="Monthly"/>
    <x v="0"/>
    <d v="2025-12-31T00:00:00"/>
    <x v="2"/>
    <x v="1"/>
    <x v="0"/>
    <n v="0"/>
    <m/>
    <m/>
    <n v="0"/>
    <n v="0"/>
    <s v="gowtham.kanchi@russellreynolds.com"/>
    <s v="Keep"/>
  </r>
  <r>
    <s v="Monthly"/>
    <x v="0"/>
    <d v="2025-12-31T00:00:00"/>
    <x v="2"/>
    <x v="1"/>
    <x v="0"/>
    <n v="0"/>
    <m/>
    <m/>
    <n v="0"/>
    <n v="0"/>
    <s v="grace.yormak@russellreynolds.com"/>
    <s v="Keep"/>
  </r>
  <r>
    <s v="Monthly"/>
    <x v="0"/>
    <d v="2025-12-31T00:00:00"/>
    <x v="139"/>
    <x v="0"/>
    <x v="114"/>
    <n v="1"/>
    <d v="2025-12-10T00:00:00"/>
    <d v="2025-12-19T00:00:00"/>
    <n v="36"/>
    <n v="1"/>
    <s v="grant.gilchrist@russellreynolds.com"/>
    <s v="Keep"/>
  </r>
  <r>
    <s v="Monthly"/>
    <x v="0"/>
    <d v="2025-12-31T00:00:00"/>
    <x v="140"/>
    <x v="0"/>
    <x v="115"/>
    <n v="1"/>
    <d v="2025-12-02T00:00:00"/>
    <d v="2025-12-22T00:00:00"/>
    <n v="43"/>
    <n v="1"/>
    <s v="grant.gilchrist@russellreynolds.com"/>
    <s v="Keep"/>
  </r>
  <r>
    <s v="Monthly"/>
    <x v="0"/>
    <d v="2025-12-31T00:00:00"/>
    <x v="141"/>
    <x v="0"/>
    <x v="116"/>
    <n v="1"/>
    <d v="2025-12-01T00:00:00"/>
    <d v="2025-12-10T00:00:00"/>
    <n v="45"/>
    <n v="1"/>
    <s v="grant.gilchrist@russellreynolds.com"/>
    <s v="Keep"/>
  </r>
  <r>
    <s v="Monthly"/>
    <x v="0"/>
    <d v="2025-12-31T00:00:00"/>
    <x v="2"/>
    <x v="1"/>
    <x v="0"/>
    <n v="0"/>
    <m/>
    <m/>
    <n v="0"/>
    <n v="0"/>
    <s v="gretchen.garner@russellreynolds.com"/>
    <s v="Keep"/>
  </r>
  <r>
    <s v="Monthly"/>
    <x v="0"/>
    <d v="2025-12-31T00:00:00"/>
    <x v="2"/>
    <x v="1"/>
    <x v="0"/>
    <n v="0"/>
    <m/>
    <m/>
    <n v="0"/>
    <n v="0"/>
    <s v="guillaume.morisset@russellreynolds.com"/>
    <s v="Keep"/>
  </r>
  <r>
    <s v="Monthly"/>
    <x v="0"/>
    <d v="2025-12-31T00:00:00"/>
    <x v="2"/>
    <x v="1"/>
    <x v="0"/>
    <n v="0"/>
    <m/>
    <m/>
    <n v="0"/>
    <n v="0"/>
    <s v="guillaume.morisset@russellreynolds.com"/>
    <s v="Keep"/>
  </r>
  <r>
    <s v="Monthly"/>
    <x v="0"/>
    <d v="2025-12-31T00:00:00"/>
    <x v="2"/>
    <x v="1"/>
    <x v="0"/>
    <n v="0"/>
    <m/>
    <m/>
    <n v="0"/>
    <n v="0"/>
    <s v="gulzar.elavia@russellreynolds.com"/>
    <s v="Keep"/>
  </r>
  <r>
    <s v="Monthly"/>
    <x v="0"/>
    <d v="2025-12-31T00:00:00"/>
    <x v="2"/>
    <x v="1"/>
    <x v="0"/>
    <n v="0"/>
    <m/>
    <m/>
    <n v="0"/>
    <n v="0"/>
    <s v="hannah.brazier@russellreynolds.com"/>
    <s v="Keep"/>
  </r>
  <r>
    <s v="Monthly"/>
    <x v="0"/>
    <d v="2025-12-31T00:00:00"/>
    <x v="142"/>
    <x v="0"/>
    <x v="117"/>
    <n v="1"/>
    <d v="2025-12-24T00:00:00"/>
    <d v="2025-12-24T00:00:00"/>
    <n v="12"/>
    <n v="1"/>
    <s v="hanuveer.nahar@russellreynolds.com"/>
    <s v="Keep"/>
  </r>
  <r>
    <s v="Monthly"/>
    <x v="0"/>
    <d v="2025-12-31T00:00:00"/>
    <x v="143"/>
    <x v="0"/>
    <x v="118"/>
    <n v="1"/>
    <d v="2025-12-17T00:00:00"/>
    <d v="2025-12-24T00:00:00"/>
    <n v="65"/>
    <n v="1"/>
    <s v="hanuveer.nahar@russellreynolds.com"/>
    <s v="Exclude"/>
  </r>
  <r>
    <s v="Monthly"/>
    <x v="0"/>
    <d v="2025-12-31T00:00:00"/>
    <x v="144"/>
    <x v="0"/>
    <x v="0"/>
    <n v="0"/>
    <m/>
    <m/>
    <n v="0"/>
    <n v="0"/>
    <s v="hanuveer.nahar@russellreynolds.com"/>
    <s v="Keep"/>
  </r>
  <r>
    <s v="Monthly"/>
    <x v="0"/>
    <d v="2025-12-31T00:00:00"/>
    <x v="145"/>
    <x v="0"/>
    <x v="0"/>
    <n v="0"/>
    <m/>
    <m/>
    <n v="0"/>
    <n v="0"/>
    <s v="hanuveer.nahar@russellreynolds.com"/>
    <s v="Keep"/>
  </r>
  <r>
    <s v="Monthly"/>
    <x v="0"/>
    <d v="2025-12-31T00:00:00"/>
    <x v="146"/>
    <x v="0"/>
    <x v="0"/>
    <n v="0"/>
    <m/>
    <m/>
    <n v="0"/>
    <n v="0"/>
    <s v="hanuveer.nahar@russellreynolds.com"/>
    <s v="Keep"/>
  </r>
  <r>
    <s v="Monthly"/>
    <x v="0"/>
    <d v="2025-12-31T00:00:00"/>
    <x v="147"/>
    <x v="1"/>
    <x v="0"/>
    <n v="0"/>
    <m/>
    <m/>
    <n v="0"/>
    <n v="0"/>
    <s v="hanuveer.nahar@russellreynolds.com"/>
    <s v="Keep"/>
  </r>
  <r>
    <s v="Monthly"/>
    <x v="0"/>
    <d v="2025-12-31T00:00:00"/>
    <x v="148"/>
    <x v="0"/>
    <x v="0"/>
    <n v="0"/>
    <m/>
    <m/>
    <n v="0"/>
    <n v="0"/>
    <s v="hanuveer.nahar@russellreynolds.com"/>
    <s v="Keep"/>
  </r>
  <r>
    <s v="Monthly"/>
    <x v="0"/>
    <d v="2025-12-31T00:00:00"/>
    <x v="149"/>
    <x v="0"/>
    <x v="0"/>
    <n v="0"/>
    <m/>
    <m/>
    <n v="0"/>
    <n v="0"/>
    <s v="hanuveer.nahar@russellreynolds.com"/>
    <s v="Keep"/>
  </r>
  <r>
    <s v="Monthly"/>
    <x v="0"/>
    <d v="2025-12-31T00:00:00"/>
    <x v="150"/>
    <x v="0"/>
    <x v="0"/>
    <n v="0"/>
    <m/>
    <m/>
    <n v="0"/>
    <n v="0"/>
    <s v="hanuveer.nahar@russellreynolds.com"/>
    <s v="Keep"/>
  </r>
  <r>
    <s v="Monthly"/>
    <x v="0"/>
    <d v="2025-12-31T00:00:00"/>
    <x v="151"/>
    <x v="1"/>
    <x v="117"/>
    <n v="0"/>
    <m/>
    <m/>
    <n v="0"/>
    <n v="0"/>
    <s v="hanuveer.nahar@russellreynolds.com"/>
    <s v="Keep"/>
  </r>
  <r>
    <s v="Monthly"/>
    <x v="0"/>
    <d v="2025-12-31T00:00:00"/>
    <x v="152"/>
    <x v="1"/>
    <x v="118"/>
    <n v="0"/>
    <m/>
    <m/>
    <n v="0"/>
    <n v="0"/>
    <s v="hanuveer.nahar@russellreynolds.com"/>
    <s v="Exclude"/>
  </r>
  <r>
    <s v="Monthly"/>
    <x v="0"/>
    <d v="2025-12-31T00:00:00"/>
    <x v="153"/>
    <x v="1"/>
    <x v="0"/>
    <n v="0"/>
    <m/>
    <m/>
    <n v="0"/>
    <n v="0"/>
    <s v="hanuveer.nahar@russellreynolds.com"/>
    <s v="Keep"/>
  </r>
  <r>
    <s v="Monthly"/>
    <x v="0"/>
    <d v="2025-12-31T00:00:00"/>
    <x v="154"/>
    <x v="0"/>
    <x v="0"/>
    <n v="0"/>
    <m/>
    <m/>
    <n v="0"/>
    <n v="0"/>
    <s v="hanuveer.nahar@russellreynolds.com"/>
    <s v="Keep"/>
  </r>
  <r>
    <s v="Monthly"/>
    <x v="0"/>
    <d v="2025-12-31T00:00:00"/>
    <x v="155"/>
    <x v="0"/>
    <x v="0"/>
    <n v="0"/>
    <m/>
    <m/>
    <n v="0"/>
    <n v="0"/>
    <s v="hanuveer.nahar@russellreynolds.com"/>
    <s v="Keep"/>
  </r>
  <r>
    <s v="Monthly"/>
    <x v="0"/>
    <d v="2025-12-31T00:00:00"/>
    <x v="156"/>
    <x v="1"/>
    <x v="117"/>
    <n v="0"/>
    <m/>
    <m/>
    <n v="0"/>
    <n v="0"/>
    <s v="hanuveer.nahar@russellreynolds.com"/>
    <s v="Keep"/>
  </r>
  <r>
    <s v="Monthly"/>
    <x v="0"/>
    <d v="2025-12-31T00:00:00"/>
    <x v="157"/>
    <x v="0"/>
    <x v="0"/>
    <n v="0"/>
    <m/>
    <m/>
    <n v="0"/>
    <n v="0"/>
    <s v="harpreet.khurana@russellreynolds.com"/>
    <s v="Keep"/>
  </r>
  <r>
    <s v="Monthly"/>
    <x v="0"/>
    <d v="2025-12-31T00:00:00"/>
    <x v="2"/>
    <x v="1"/>
    <x v="0"/>
    <n v="0"/>
    <m/>
    <m/>
    <n v="0"/>
    <n v="0"/>
    <s v="harpreet.khurana@russellreynolds.com"/>
    <s v="Keep"/>
  </r>
  <r>
    <s v="Monthly"/>
    <x v="0"/>
    <d v="2025-12-31T00:00:00"/>
    <x v="158"/>
    <x v="0"/>
    <x v="0"/>
    <n v="0"/>
    <m/>
    <m/>
    <n v="0"/>
    <n v="0"/>
    <s v="harpreet.khurana@russellreynolds.com"/>
    <s v="Keep"/>
  </r>
  <r>
    <s v="Monthly"/>
    <x v="0"/>
    <d v="2025-12-31T00:00:00"/>
    <x v="2"/>
    <x v="1"/>
    <x v="119"/>
    <n v="1"/>
    <d v="2025-12-14T00:00:00"/>
    <d v="2025-12-14T00:00:00"/>
    <n v="4"/>
    <n v="1"/>
    <s v="heather.blonkenfeld@russellreynolds.com"/>
    <s v="Keep"/>
  </r>
  <r>
    <s v="Monthly"/>
    <x v="0"/>
    <d v="2025-12-31T00:00:00"/>
    <x v="159"/>
    <x v="0"/>
    <x v="120"/>
    <n v="1"/>
    <d v="2025-12-16T00:00:00"/>
    <d v="2025-12-30T00:00:00"/>
    <n v="87"/>
    <n v="1"/>
    <s v="heather.blonkenfeld@russellreynolds.com"/>
    <s v="Keep"/>
  </r>
  <r>
    <s v="Monthly"/>
    <x v="0"/>
    <d v="2025-12-31T00:00:00"/>
    <x v="160"/>
    <x v="0"/>
    <x v="121"/>
    <n v="0"/>
    <m/>
    <m/>
    <n v="0"/>
    <n v="0"/>
    <s v="heather.blonkenfeld@russellreynolds.com"/>
    <s v="Keep"/>
  </r>
  <r>
    <s v="Monthly"/>
    <x v="0"/>
    <d v="2025-12-31T00:00:00"/>
    <x v="161"/>
    <x v="0"/>
    <x v="0"/>
    <n v="0"/>
    <m/>
    <m/>
    <n v="0"/>
    <n v="0"/>
    <s v="heather.blonkenfeld@russellreynolds.com"/>
    <s v="Keep"/>
  </r>
  <r>
    <s v="Monthly"/>
    <x v="0"/>
    <d v="2025-12-31T00:00:00"/>
    <x v="2"/>
    <x v="1"/>
    <x v="0"/>
    <n v="0"/>
    <m/>
    <m/>
    <n v="0"/>
    <n v="0"/>
    <s v="heather.blonkenfeld@russellreynolds.com"/>
    <s v="Keep"/>
  </r>
  <r>
    <s v="Monthly"/>
    <x v="0"/>
    <d v="2025-12-31T00:00:00"/>
    <x v="2"/>
    <x v="1"/>
    <x v="0"/>
    <n v="0"/>
    <m/>
    <m/>
    <n v="0"/>
    <n v="0"/>
    <s v="helen.metcalfe@russellreynolds.com"/>
    <s v="Keep"/>
  </r>
  <r>
    <s v="Monthly"/>
    <x v="0"/>
    <d v="2025-12-31T00:00:00"/>
    <x v="2"/>
    <x v="1"/>
    <x v="0"/>
    <n v="0"/>
    <m/>
    <m/>
    <n v="0"/>
    <n v="0"/>
    <s v="hillary.fazekas@russellreynolds.com"/>
    <s v="Keep"/>
  </r>
  <r>
    <s v="Monthly"/>
    <x v="0"/>
    <d v="2025-12-31T00:00:00"/>
    <x v="2"/>
    <x v="1"/>
    <x v="0"/>
    <n v="0"/>
    <m/>
    <m/>
    <n v="0"/>
    <n v="0"/>
    <s v="hiren.vora@russellreynolds.com"/>
    <s v="Keep"/>
  </r>
  <r>
    <s v="Monthly"/>
    <x v="0"/>
    <d v="2025-12-31T00:00:00"/>
    <x v="2"/>
    <x v="1"/>
    <x v="0"/>
    <n v="0"/>
    <m/>
    <m/>
    <n v="0"/>
    <n v="0"/>
    <s v="hiren.vora@russellreynolds.com"/>
    <s v="Keep"/>
  </r>
  <r>
    <s v="Monthly"/>
    <x v="0"/>
    <d v="2025-12-31T00:00:00"/>
    <x v="2"/>
    <x v="1"/>
    <x v="0"/>
    <n v="0"/>
    <m/>
    <m/>
    <n v="0"/>
    <n v="0"/>
    <s v="hiren.vora@russellreynolds.com"/>
    <s v="Keep"/>
  </r>
  <r>
    <s v="Monthly"/>
    <x v="0"/>
    <d v="2025-12-31T00:00:00"/>
    <x v="2"/>
    <x v="1"/>
    <x v="0"/>
    <n v="0"/>
    <m/>
    <m/>
    <n v="0"/>
    <n v="0"/>
    <s v="hiren.vora@russellreynolds.com"/>
    <s v="Keep"/>
  </r>
  <r>
    <s v="Monthly"/>
    <x v="0"/>
    <d v="2025-12-31T00:00:00"/>
    <x v="2"/>
    <x v="1"/>
    <x v="0"/>
    <n v="0"/>
    <m/>
    <m/>
    <n v="0"/>
    <n v="0"/>
    <s v="hiren.vora@russellreynolds.com"/>
    <s v="Keep"/>
  </r>
  <r>
    <s v="Monthly"/>
    <x v="0"/>
    <d v="2025-12-31T00:00:00"/>
    <x v="2"/>
    <x v="1"/>
    <x v="0"/>
    <n v="0"/>
    <m/>
    <m/>
    <n v="0"/>
    <n v="0"/>
    <s v="hiren.vora@russellreynolds.com"/>
    <s v="Keep"/>
  </r>
  <r>
    <s v="Monthly"/>
    <x v="0"/>
    <d v="2025-12-31T00:00:00"/>
    <x v="2"/>
    <x v="1"/>
    <x v="0"/>
    <n v="0"/>
    <m/>
    <m/>
    <n v="0"/>
    <n v="0"/>
    <s v="hiren.vora@russellreynolds.com"/>
    <s v="Keep"/>
  </r>
  <r>
    <s v="Monthly"/>
    <x v="0"/>
    <d v="2025-12-31T00:00:00"/>
    <x v="162"/>
    <x v="0"/>
    <x v="0"/>
    <n v="1"/>
    <d v="2025-12-16T00:00:00"/>
    <d v="2025-12-23T00:00:00"/>
    <n v="25"/>
    <n v="2"/>
    <s v="ines.martinezfresneda@russellreynolds.com"/>
    <s v="Keep"/>
  </r>
  <r>
    <s v="Monthly"/>
    <x v="0"/>
    <d v="2025-12-31T00:00:00"/>
    <x v="163"/>
    <x v="0"/>
    <x v="122"/>
    <n v="1"/>
    <d v="2025-12-05T00:00:00"/>
    <d v="2025-12-19T00:00:00"/>
    <n v="7"/>
    <n v="1"/>
    <s v="izzat.jaradat@russellreynolds.com"/>
    <s v="Keep"/>
  </r>
  <r>
    <s v="Monthly"/>
    <x v="0"/>
    <d v="2025-12-31T00:00:00"/>
    <x v="164"/>
    <x v="0"/>
    <x v="123"/>
    <n v="1"/>
    <d v="2025-12-01T00:00:00"/>
    <d v="2025-12-18T00:00:00"/>
    <n v="69"/>
    <n v="1"/>
    <s v="izzat.jaradat@russellreynolds.com"/>
    <s v="Keep"/>
  </r>
  <r>
    <s v="Monthly"/>
    <x v="0"/>
    <d v="2025-12-31T00:00:00"/>
    <x v="2"/>
    <x v="1"/>
    <x v="0"/>
    <n v="0"/>
    <m/>
    <m/>
    <n v="0"/>
    <n v="0"/>
    <s v="janice.wong@russellreynolds.com"/>
    <s v="Keep"/>
  </r>
  <r>
    <s v="Monthly"/>
    <x v="0"/>
    <d v="2025-12-31T00:00:00"/>
    <x v="2"/>
    <x v="1"/>
    <x v="124"/>
    <n v="0"/>
    <m/>
    <m/>
    <n v="0"/>
    <n v="0"/>
    <s v="jason.friedman@russellreynolds.com"/>
    <s v="Keep"/>
  </r>
  <r>
    <s v="Monthly"/>
    <x v="0"/>
    <d v="2025-12-31T00:00:00"/>
    <x v="2"/>
    <x v="1"/>
    <x v="0"/>
    <n v="0"/>
    <m/>
    <m/>
    <n v="0"/>
    <n v="0"/>
    <s v="jayaramaiah.dwarasila@russellreynolds.com"/>
    <s v="Keep"/>
  </r>
  <r>
    <s v="Monthly"/>
    <x v="0"/>
    <d v="2025-12-31T00:00:00"/>
    <x v="2"/>
    <x v="1"/>
    <x v="0"/>
    <n v="0"/>
    <m/>
    <m/>
    <n v="0"/>
    <n v="0"/>
    <s v="jennifer.fodor@russellreynolds.com"/>
    <s v="Keep"/>
  </r>
  <r>
    <s v="Monthly"/>
    <x v="0"/>
    <d v="2025-12-31T00:00:00"/>
    <x v="2"/>
    <x v="1"/>
    <x v="0"/>
    <n v="0"/>
    <m/>
    <m/>
    <n v="0"/>
    <n v="0"/>
    <s v="jill.spencer@russellreynolds.com"/>
    <s v="Keep"/>
  </r>
  <r>
    <s v="Monthly"/>
    <x v="0"/>
    <d v="2025-12-31T00:00:00"/>
    <x v="2"/>
    <x v="1"/>
    <x v="0"/>
    <n v="0"/>
    <m/>
    <m/>
    <n v="0"/>
    <n v="0"/>
    <s v="jim.mcglone@russellreynolds.com"/>
    <s v="Keep"/>
  </r>
  <r>
    <s v="Monthly"/>
    <x v="0"/>
    <d v="2025-12-31T00:00:00"/>
    <x v="165"/>
    <x v="0"/>
    <x v="0"/>
    <n v="1"/>
    <d v="2025-12-23T00:00:00"/>
    <d v="2025-12-23T00:00:00"/>
    <n v="1"/>
    <n v="1"/>
    <s v="johann.gruemmer@russellreynolds.com"/>
    <s v="Keep"/>
  </r>
  <r>
    <s v="Monthly"/>
    <x v="0"/>
    <d v="2025-12-31T00:00:00"/>
    <x v="166"/>
    <x v="0"/>
    <x v="125"/>
    <n v="1"/>
    <d v="2025-12-16T00:00:00"/>
    <d v="2025-12-16T00:00:00"/>
    <n v="15"/>
    <n v="1"/>
    <s v="johann.gruemmer@russellreynolds.com"/>
    <s v="Keep"/>
  </r>
  <r>
    <s v="Monthly"/>
    <x v="0"/>
    <d v="2025-12-31T00:00:00"/>
    <x v="167"/>
    <x v="0"/>
    <x v="126"/>
    <n v="1"/>
    <d v="2025-12-01T00:00:00"/>
    <d v="2025-12-30T00:00:00"/>
    <n v="368"/>
    <n v="1"/>
    <s v="johann.gruemmer@russellreynolds.com"/>
    <s v="Keep"/>
  </r>
  <r>
    <s v="Monthly"/>
    <x v="0"/>
    <d v="2025-12-31T00:00:00"/>
    <x v="168"/>
    <x v="0"/>
    <x v="127"/>
    <n v="0"/>
    <m/>
    <m/>
    <n v="0"/>
    <n v="0"/>
    <s v="johann.gruemmer@russellreynolds.com"/>
    <s v="Keep"/>
  </r>
  <r>
    <s v="Monthly"/>
    <x v="0"/>
    <d v="2025-12-31T00:00:00"/>
    <x v="2"/>
    <x v="1"/>
    <x v="0"/>
    <n v="0"/>
    <m/>
    <m/>
    <n v="0"/>
    <n v="0"/>
    <s v="johann.gruemmer@russellreynolds.com"/>
    <s v="Keep"/>
  </r>
  <r>
    <s v="Monthly"/>
    <x v="0"/>
    <d v="2025-12-31T00:00:00"/>
    <x v="2"/>
    <x v="1"/>
    <x v="128"/>
    <n v="0"/>
    <m/>
    <m/>
    <n v="0"/>
    <n v="0"/>
    <s v="johann.gruemmer@russellreynolds.com"/>
    <s v="Keep"/>
  </r>
  <r>
    <s v="Monthly"/>
    <x v="0"/>
    <d v="2025-12-31T00:00:00"/>
    <x v="169"/>
    <x v="0"/>
    <x v="129"/>
    <n v="0"/>
    <m/>
    <m/>
    <n v="0"/>
    <n v="0"/>
    <s v="johann.gruemmer@russellreynolds.com"/>
    <s v="Keep"/>
  </r>
  <r>
    <s v="Monthly"/>
    <x v="0"/>
    <d v="2025-12-31T00:00:00"/>
    <x v="2"/>
    <x v="1"/>
    <x v="0"/>
    <n v="0"/>
    <m/>
    <m/>
    <n v="0"/>
    <n v="0"/>
    <s v="johann.gruemmer@russellreynolds.com"/>
    <s v="Keep"/>
  </r>
  <r>
    <s v="Monthly"/>
    <x v="0"/>
    <d v="2025-12-31T00:00:00"/>
    <x v="2"/>
    <x v="1"/>
    <x v="130"/>
    <n v="0"/>
    <m/>
    <m/>
    <n v="0"/>
    <n v="0"/>
    <s v="johann.gruemmer@russellreynolds.com"/>
    <s v="Keep"/>
  </r>
  <r>
    <s v="Monthly"/>
    <x v="0"/>
    <d v="2025-12-31T00:00:00"/>
    <x v="170"/>
    <x v="0"/>
    <x v="131"/>
    <n v="0"/>
    <m/>
    <m/>
    <n v="0"/>
    <n v="0"/>
    <s v="john.wood@russellreynolds.com"/>
    <s v="Keep"/>
  </r>
  <r>
    <s v="Monthly"/>
    <x v="0"/>
    <d v="2025-12-31T00:00:00"/>
    <x v="2"/>
    <x v="1"/>
    <x v="0"/>
    <n v="0"/>
    <m/>
    <m/>
    <n v="0"/>
    <n v="0"/>
    <s v="jordan.merrill@russellreynolds.com"/>
    <s v="Keep"/>
  </r>
  <r>
    <s v="Monthly"/>
    <x v="0"/>
    <d v="2025-12-31T00:00:00"/>
    <x v="171"/>
    <x v="0"/>
    <x v="0"/>
    <n v="1"/>
    <d v="2025-12-01T00:00:00"/>
    <d v="2025-12-01T00:00:00"/>
    <n v="3"/>
    <n v="1"/>
    <s v="jorge.fava@russellreynolds.com"/>
    <s v="Keep"/>
  </r>
  <r>
    <s v="Monthly"/>
    <x v="0"/>
    <d v="2025-12-31T00:00:00"/>
    <x v="172"/>
    <x v="0"/>
    <x v="0"/>
    <n v="1"/>
    <d v="2025-12-01T00:00:00"/>
    <d v="2025-12-22T00:00:00"/>
    <n v="102"/>
    <n v="1"/>
    <s v="jorge.fava@russellreynolds.com"/>
    <s v="Keep"/>
  </r>
  <r>
    <s v="Monthly"/>
    <x v="0"/>
    <d v="2025-12-31T00:00:00"/>
    <x v="173"/>
    <x v="0"/>
    <x v="0"/>
    <n v="0"/>
    <m/>
    <m/>
    <n v="0"/>
    <n v="0"/>
    <s v="jorge.fava@russellreynolds.com"/>
    <s v="Keep"/>
  </r>
  <r>
    <s v="Monthly"/>
    <x v="0"/>
    <d v="2025-12-31T00:00:00"/>
    <x v="2"/>
    <x v="1"/>
    <x v="0"/>
    <n v="0"/>
    <m/>
    <m/>
    <n v="0"/>
    <n v="0"/>
    <s v="jorge.fava@russellreynolds.com"/>
    <s v="Keep"/>
  </r>
  <r>
    <s v="Monthly"/>
    <x v="0"/>
    <d v="2025-12-31T00:00:00"/>
    <x v="2"/>
    <x v="1"/>
    <x v="0"/>
    <n v="0"/>
    <m/>
    <m/>
    <n v="0"/>
    <n v="0"/>
    <s v="jorge.fava@russellreynolds.com"/>
    <s v="Keep"/>
  </r>
  <r>
    <s v="Monthly"/>
    <x v="0"/>
    <d v="2025-12-31T00:00:00"/>
    <x v="2"/>
    <x v="1"/>
    <x v="0"/>
    <n v="0"/>
    <m/>
    <m/>
    <n v="0"/>
    <n v="0"/>
    <s v="jorge.fava@russellreynolds.com"/>
    <s v="Keep"/>
  </r>
  <r>
    <s v="Monthly"/>
    <x v="0"/>
    <d v="2025-12-31T00:00:00"/>
    <x v="174"/>
    <x v="0"/>
    <x v="0"/>
    <n v="0"/>
    <m/>
    <m/>
    <n v="0"/>
    <n v="0"/>
    <s v="jorge.fava@russellreynolds.com"/>
    <s v="Keep"/>
  </r>
  <r>
    <s v="Monthly"/>
    <x v="0"/>
    <d v="2025-12-31T00:00:00"/>
    <x v="175"/>
    <x v="0"/>
    <x v="132"/>
    <n v="1"/>
    <d v="2025-12-08T00:00:00"/>
    <d v="2025-12-18T00:00:00"/>
    <n v="31"/>
    <n v="12"/>
    <s v="justus.obrien@russellreynolds.com"/>
    <s v="Keep"/>
  </r>
  <r>
    <s v="Monthly"/>
    <x v="0"/>
    <d v="2025-12-31T00:00:00"/>
    <x v="176"/>
    <x v="0"/>
    <x v="133"/>
    <n v="1"/>
    <d v="2025-12-06T00:00:00"/>
    <d v="2025-12-25T00:00:00"/>
    <n v="7"/>
    <n v="1"/>
    <s v="justus.obrien@russellreynolds.com"/>
    <s v="Keep"/>
  </r>
  <r>
    <s v="Monthly"/>
    <x v="0"/>
    <d v="2025-12-31T00:00:00"/>
    <x v="2"/>
    <x v="1"/>
    <x v="0"/>
    <n v="0"/>
    <m/>
    <m/>
    <n v="0"/>
    <n v="0"/>
    <s v="justus.obrien@russellreynolds.com"/>
    <s v="Keep"/>
  </r>
  <r>
    <s v="Monthly"/>
    <x v="0"/>
    <d v="2025-12-31T00:00:00"/>
    <x v="177"/>
    <x v="0"/>
    <x v="134"/>
    <n v="0"/>
    <m/>
    <m/>
    <n v="0"/>
    <n v="0"/>
    <s v="justus.obrien@russellreynolds.com"/>
    <s v="Keep"/>
  </r>
  <r>
    <s v="Monthly"/>
    <x v="0"/>
    <d v="2025-12-31T00:00:00"/>
    <x v="178"/>
    <x v="0"/>
    <x v="135"/>
    <n v="0"/>
    <m/>
    <m/>
    <n v="0"/>
    <n v="0"/>
    <s v="justus.obrien@russellreynolds.com"/>
    <s v="Keep"/>
  </r>
  <r>
    <s v="Monthly"/>
    <x v="0"/>
    <d v="2025-12-31T00:00:00"/>
    <x v="179"/>
    <x v="1"/>
    <x v="136"/>
    <n v="1"/>
    <d v="2025-12-18T00:00:00"/>
    <d v="2025-12-18T00:00:00"/>
    <n v="5"/>
    <n v="1"/>
    <s v="kara.finnerty@russellreynolds.com"/>
    <s v="Keep"/>
  </r>
  <r>
    <s v="Monthly"/>
    <x v="0"/>
    <d v="2025-12-31T00:00:00"/>
    <x v="2"/>
    <x v="1"/>
    <x v="0"/>
    <n v="0"/>
    <m/>
    <m/>
    <n v="0"/>
    <n v="0"/>
    <s v="karin.tovar@russellreynolds.com"/>
    <s v="Keep"/>
  </r>
  <r>
    <s v="Monthly"/>
    <x v="0"/>
    <d v="2025-12-31T00:00:00"/>
    <x v="180"/>
    <x v="0"/>
    <x v="137"/>
    <n v="1"/>
    <d v="2025-12-05T00:00:00"/>
    <d v="2025-12-05T00:00:00"/>
    <n v="2"/>
    <n v="1"/>
    <s v="katarina.knight@russellreynolds.com"/>
    <s v="Keep"/>
  </r>
  <r>
    <s v="Monthly"/>
    <x v="0"/>
    <d v="2025-12-31T00:00:00"/>
    <x v="181"/>
    <x v="0"/>
    <x v="138"/>
    <n v="1"/>
    <d v="2025-12-09T00:00:00"/>
    <d v="2025-12-18T00:00:00"/>
    <n v="8"/>
    <n v="1"/>
    <s v="katarina.knight@russellreynolds.com"/>
    <s v="Keep"/>
  </r>
  <r>
    <s v="Monthly"/>
    <x v="0"/>
    <d v="2025-12-31T00:00:00"/>
    <x v="182"/>
    <x v="0"/>
    <x v="139"/>
    <n v="1"/>
    <d v="2025-12-01T00:00:00"/>
    <d v="2025-12-15T00:00:00"/>
    <n v="8"/>
    <n v="1"/>
    <s v="katarina.knight@russellreynolds.com"/>
    <s v="Keep"/>
  </r>
  <r>
    <s v="Monthly"/>
    <x v="0"/>
    <d v="2025-12-31T00:00:00"/>
    <x v="2"/>
    <x v="1"/>
    <x v="0"/>
    <n v="0"/>
    <m/>
    <m/>
    <n v="0"/>
    <n v="0"/>
    <s v="katarina.knight@russellreynolds.com"/>
    <s v="Keep"/>
  </r>
  <r>
    <s v="Monthly"/>
    <x v="0"/>
    <d v="2025-12-31T00:00:00"/>
    <x v="183"/>
    <x v="0"/>
    <x v="140"/>
    <n v="0"/>
    <m/>
    <m/>
    <n v="0"/>
    <n v="0"/>
    <s v="katarina.knight@russellreynolds.com"/>
    <s v="Keep"/>
  </r>
  <r>
    <s v="Monthly"/>
    <x v="0"/>
    <d v="2025-12-31T00:00:00"/>
    <x v="184"/>
    <x v="0"/>
    <x v="141"/>
    <n v="1"/>
    <d v="2025-12-08T00:00:00"/>
    <d v="2025-12-08T00:00:00"/>
    <n v="2"/>
    <n v="1"/>
    <s v="kate.schermer@russellreynolds.com"/>
    <s v="Keep"/>
  </r>
  <r>
    <s v="Monthly"/>
    <x v="0"/>
    <d v="2025-12-31T00:00:00"/>
    <x v="185"/>
    <x v="0"/>
    <x v="142"/>
    <n v="1"/>
    <d v="2025-12-03T00:00:00"/>
    <d v="2025-12-08T00:00:00"/>
    <n v="14"/>
    <n v="1"/>
    <s v="kate.schermer@russellreynolds.com"/>
    <s v="Keep"/>
  </r>
  <r>
    <s v="Monthly"/>
    <x v="0"/>
    <d v="2025-12-31T00:00:00"/>
    <x v="186"/>
    <x v="0"/>
    <x v="143"/>
    <n v="1"/>
    <d v="2025-12-03T00:00:00"/>
    <d v="2025-12-09T00:00:00"/>
    <n v="56"/>
    <n v="1"/>
    <s v="kate.schermer@russellreynolds.com"/>
    <s v="Keep"/>
  </r>
  <r>
    <s v="Monthly"/>
    <x v="0"/>
    <d v="2025-12-31T00:00:00"/>
    <x v="2"/>
    <x v="1"/>
    <x v="0"/>
    <n v="0"/>
    <m/>
    <m/>
    <n v="0"/>
    <n v="0"/>
    <s v="kate.schermer@russellreynolds.com"/>
    <s v="Keep"/>
  </r>
  <r>
    <s v="Monthly"/>
    <x v="0"/>
    <d v="2025-12-31T00:00:00"/>
    <x v="2"/>
    <x v="1"/>
    <x v="0"/>
    <n v="0"/>
    <m/>
    <m/>
    <n v="0"/>
    <n v="0"/>
    <s v="kathy.vuturo@russellreynolds.com"/>
    <s v="Keep"/>
  </r>
  <r>
    <s v="Monthly"/>
    <x v="0"/>
    <d v="2025-12-31T00:00:00"/>
    <x v="187"/>
    <x v="0"/>
    <x v="144"/>
    <n v="1"/>
    <d v="2025-12-02T00:00:00"/>
    <d v="2025-12-02T00:00:00"/>
    <n v="8"/>
    <n v="1"/>
    <s v="kay.adams@russellreynolds.com"/>
    <s v="Keep"/>
  </r>
  <r>
    <s v="Monthly"/>
    <x v="0"/>
    <d v="2025-12-31T00:00:00"/>
    <x v="2"/>
    <x v="1"/>
    <x v="0"/>
    <n v="0"/>
    <m/>
    <m/>
    <n v="0"/>
    <n v="0"/>
    <s v="kay.adams@russellreynolds.com"/>
    <s v="Keep"/>
  </r>
  <r>
    <s v="Monthly"/>
    <x v="0"/>
    <d v="2025-12-31T00:00:00"/>
    <x v="2"/>
    <x v="1"/>
    <x v="0"/>
    <n v="0"/>
    <m/>
    <m/>
    <n v="0"/>
    <n v="0"/>
    <s v="kay.adams@russellreynolds.com"/>
    <s v="Keep"/>
  </r>
  <r>
    <s v="Monthly"/>
    <x v="0"/>
    <d v="2025-12-31T00:00:00"/>
    <x v="2"/>
    <x v="1"/>
    <x v="0"/>
    <n v="0"/>
    <m/>
    <m/>
    <n v="0"/>
    <n v="0"/>
    <s v="kay.adams@russellreynolds.com"/>
    <s v="Keep"/>
  </r>
  <r>
    <s v="Monthly"/>
    <x v="0"/>
    <d v="2025-12-31T00:00:00"/>
    <x v="2"/>
    <x v="1"/>
    <x v="0"/>
    <n v="0"/>
    <m/>
    <m/>
    <n v="0"/>
    <n v="0"/>
    <s v="kay.adams@russellreynolds.com"/>
    <s v="Keep"/>
  </r>
  <r>
    <s v="Monthly"/>
    <x v="0"/>
    <d v="2025-12-31T00:00:00"/>
    <x v="2"/>
    <x v="1"/>
    <x v="0"/>
    <n v="0"/>
    <m/>
    <m/>
    <n v="0"/>
    <n v="0"/>
    <s v="kay.adams@russellreynolds.com"/>
    <s v="Keep"/>
  </r>
  <r>
    <s v="Monthly"/>
    <x v="0"/>
    <d v="2025-12-31T00:00:00"/>
    <x v="2"/>
    <x v="1"/>
    <x v="0"/>
    <n v="0"/>
    <m/>
    <m/>
    <n v="0"/>
    <n v="0"/>
    <s v="kay.adams@russellreynolds.com"/>
    <s v="Keep"/>
  </r>
  <r>
    <s v="Monthly"/>
    <x v="0"/>
    <d v="2025-12-31T00:00:00"/>
    <x v="2"/>
    <x v="1"/>
    <x v="0"/>
    <n v="0"/>
    <m/>
    <m/>
    <n v="0"/>
    <n v="0"/>
    <s v="keesha-ann.murphy@russellreynolds.com"/>
    <s v="Keep"/>
  </r>
  <r>
    <s v="Monthly"/>
    <x v="0"/>
    <d v="2025-12-31T00:00:00"/>
    <x v="188"/>
    <x v="0"/>
    <x v="0"/>
    <n v="1"/>
    <d v="2025-12-03T00:00:00"/>
    <d v="2025-12-03T00:00:00"/>
    <n v="1"/>
    <n v="1"/>
    <s v="kelly.smith@russellreynolds.com"/>
    <s v="Keep"/>
  </r>
  <r>
    <s v="Monthly"/>
    <x v="0"/>
    <d v="2025-12-31T00:00:00"/>
    <x v="189"/>
    <x v="0"/>
    <x v="0"/>
    <n v="0"/>
    <m/>
    <m/>
    <n v="0"/>
    <n v="0"/>
    <s v="kelly.smith@russellreynolds.com"/>
    <s v="Keep"/>
  </r>
  <r>
    <s v="Monthly"/>
    <x v="0"/>
    <d v="2025-12-31T00:00:00"/>
    <x v="190"/>
    <x v="1"/>
    <x v="0"/>
    <n v="0"/>
    <m/>
    <m/>
    <n v="0"/>
    <n v="0"/>
    <s v="kelly.smith@russellreynolds.com"/>
    <s v="Keep"/>
  </r>
  <r>
    <s v="Monthly"/>
    <x v="0"/>
    <d v="2025-12-31T00:00:00"/>
    <x v="191"/>
    <x v="0"/>
    <x v="145"/>
    <n v="0"/>
    <m/>
    <m/>
    <n v="0"/>
    <n v="0"/>
    <s v="kirsten.ludlow@russellreynolds.com"/>
    <s v="Keep"/>
  </r>
  <r>
    <s v="Monthly"/>
    <x v="0"/>
    <d v="2025-12-31T00:00:00"/>
    <x v="2"/>
    <x v="1"/>
    <x v="0"/>
    <n v="0"/>
    <m/>
    <m/>
    <n v="0"/>
    <n v="0"/>
    <s v="kristen.scott@russellreynolds.com"/>
    <s v="Keep"/>
  </r>
  <r>
    <s v="Monthly"/>
    <x v="0"/>
    <d v="2025-12-31T00:00:00"/>
    <x v="192"/>
    <x v="1"/>
    <x v="146"/>
    <n v="1"/>
    <d v="2025-12-30T00:00:00"/>
    <d v="2025-12-30T00:00:00"/>
    <n v="5"/>
    <n v="1"/>
    <s v="lauren.krouskoff@russellreynolds.com"/>
    <s v="Keep"/>
  </r>
  <r>
    <s v="Monthly"/>
    <x v="0"/>
    <d v="2025-12-31T00:00:00"/>
    <x v="193"/>
    <x v="0"/>
    <x v="147"/>
    <n v="1"/>
    <d v="2025-12-01T00:00:00"/>
    <d v="2025-12-29T00:00:00"/>
    <n v="97"/>
    <n v="12"/>
    <s v="leah.christianson@russellreynolds.com"/>
    <s v="Keep"/>
  </r>
  <r>
    <s v="Monthly"/>
    <x v="0"/>
    <d v="2025-12-31T00:00:00"/>
    <x v="194"/>
    <x v="1"/>
    <x v="148"/>
    <n v="1"/>
    <d v="2025-12-10T00:00:00"/>
    <d v="2025-12-10T00:00:00"/>
    <n v="18"/>
    <n v="1"/>
    <s v="liam.chapman@russellreynolds.com"/>
    <s v="Keep"/>
  </r>
  <r>
    <s v="Monthly"/>
    <x v="0"/>
    <d v="2025-12-31T00:00:00"/>
    <x v="195"/>
    <x v="0"/>
    <x v="149"/>
    <n v="1"/>
    <d v="2025-12-01T00:00:00"/>
    <d v="2025-12-04T00:00:00"/>
    <n v="39"/>
    <n v="1"/>
    <s v="lizzie.michaelson@russellreynolds.com"/>
    <s v="Keep"/>
  </r>
  <r>
    <s v="Monthly"/>
    <x v="0"/>
    <d v="2025-12-31T00:00:00"/>
    <x v="196"/>
    <x v="0"/>
    <x v="150"/>
    <n v="1"/>
    <d v="2025-12-03T00:00:00"/>
    <d v="2025-12-13T00:00:00"/>
    <n v="113"/>
    <n v="1"/>
    <s v="lizzie.michaelson@russellreynolds.com"/>
    <s v="Keep"/>
  </r>
  <r>
    <s v="Monthly"/>
    <x v="0"/>
    <d v="2025-12-31T00:00:00"/>
    <x v="197"/>
    <x v="0"/>
    <x v="151"/>
    <n v="1"/>
    <d v="2025-12-01T00:00:00"/>
    <d v="2025-12-18T00:00:00"/>
    <n v="261"/>
    <n v="1"/>
    <s v="lizzie.michaelson@russellreynolds.com"/>
    <s v="Keep"/>
  </r>
  <r>
    <s v="Monthly"/>
    <x v="0"/>
    <d v="2025-12-31T00:00:00"/>
    <x v="198"/>
    <x v="0"/>
    <x v="152"/>
    <n v="0"/>
    <m/>
    <m/>
    <n v="0"/>
    <n v="0"/>
    <s v="lizzy.klumpp@russellreynolds.com"/>
    <s v="Keep"/>
  </r>
  <r>
    <s v="Monthly"/>
    <x v="0"/>
    <d v="2025-12-31T00:00:00"/>
    <x v="199"/>
    <x v="0"/>
    <x v="153"/>
    <n v="0"/>
    <m/>
    <m/>
    <n v="0"/>
    <n v="0"/>
    <s v="lizzy.klumpp@russellreynolds.com"/>
    <s v="Keep"/>
  </r>
  <r>
    <s v="Monthly"/>
    <x v="0"/>
    <d v="2025-12-31T00:00:00"/>
    <x v="200"/>
    <x v="1"/>
    <x v="154"/>
    <n v="0"/>
    <m/>
    <m/>
    <n v="0"/>
    <n v="0"/>
    <s v="lizzy.klumpp@russellreynolds.com"/>
    <s v="Keep"/>
  </r>
  <r>
    <s v="Monthly"/>
    <x v="0"/>
    <d v="2025-12-31T00:00:00"/>
    <x v="201"/>
    <x v="0"/>
    <x v="155"/>
    <n v="0"/>
    <m/>
    <m/>
    <n v="0"/>
    <n v="0"/>
    <s v="lizzy.klumpp@russellreynolds.com"/>
    <s v="Exclude"/>
  </r>
  <r>
    <s v="Monthly"/>
    <x v="0"/>
    <d v="2025-12-31T00:00:00"/>
    <x v="202"/>
    <x v="1"/>
    <x v="0"/>
    <n v="0"/>
    <m/>
    <m/>
    <n v="0"/>
    <n v="0"/>
    <s v="lizzy.klumpp@russellreynolds.com"/>
    <s v="Keep"/>
  </r>
  <r>
    <s v="Monthly"/>
    <x v="0"/>
    <d v="2025-12-31T00:00:00"/>
    <x v="203"/>
    <x v="0"/>
    <x v="156"/>
    <n v="0"/>
    <m/>
    <m/>
    <n v="0"/>
    <n v="0"/>
    <s v="lizzy.klumpp@russellreynolds.com"/>
    <s v="Keep"/>
  </r>
  <r>
    <s v="Monthly"/>
    <x v="0"/>
    <d v="2025-12-31T00:00:00"/>
    <x v="204"/>
    <x v="0"/>
    <x v="157"/>
    <n v="0"/>
    <m/>
    <m/>
    <n v="0"/>
    <n v="0"/>
    <s v="lizzy.klumpp@russellreynolds.com"/>
    <s v="Keep"/>
  </r>
  <r>
    <s v="Monthly"/>
    <x v="0"/>
    <d v="2025-12-31T00:00:00"/>
    <x v="2"/>
    <x v="1"/>
    <x v="0"/>
    <n v="0"/>
    <m/>
    <m/>
    <n v="0"/>
    <n v="0"/>
    <s v="lizzy.klumpp@russellreynolds.com"/>
    <s v="Keep"/>
  </r>
  <r>
    <s v="Monthly"/>
    <x v="0"/>
    <d v="2025-12-31T00:00:00"/>
    <x v="203"/>
    <x v="1"/>
    <x v="0"/>
    <n v="0"/>
    <m/>
    <m/>
    <n v="0"/>
    <n v="0"/>
    <s v="lizzy.klumpp@russellreynolds.com"/>
    <s v="Keep"/>
  </r>
  <r>
    <s v="Monthly"/>
    <x v="0"/>
    <d v="2025-12-31T00:00:00"/>
    <x v="205"/>
    <x v="0"/>
    <x v="158"/>
    <n v="0"/>
    <m/>
    <m/>
    <n v="0"/>
    <n v="0"/>
    <s v="lizzy.klumpp@russellreynolds.com"/>
    <s v="Keep"/>
  </r>
  <r>
    <s v="Monthly"/>
    <x v="0"/>
    <d v="2025-12-31T00:00:00"/>
    <x v="206"/>
    <x v="0"/>
    <x v="159"/>
    <n v="0"/>
    <m/>
    <m/>
    <n v="0"/>
    <n v="0"/>
    <s v="lizzy.klumpp@russellreynolds.com"/>
    <s v="Exclude"/>
  </r>
  <r>
    <s v="Monthly"/>
    <x v="0"/>
    <d v="2025-12-31T00:00:00"/>
    <x v="207"/>
    <x v="0"/>
    <x v="160"/>
    <n v="1"/>
    <d v="2025-12-01T00:00:00"/>
    <d v="2025-12-22T00:00:00"/>
    <n v="378"/>
    <n v="1"/>
    <s v="luis.pereirabaptista@russellreynolds.com"/>
    <s v="Keep"/>
  </r>
  <r>
    <s v="Monthly"/>
    <x v="0"/>
    <d v="2025-12-31T00:00:00"/>
    <x v="208"/>
    <x v="0"/>
    <x v="161"/>
    <n v="0"/>
    <m/>
    <m/>
    <n v="0"/>
    <n v="0"/>
    <s v="luis.pereirabaptista@russellreynolds.com"/>
    <s v="Keep"/>
  </r>
  <r>
    <s v="Monthly"/>
    <x v="0"/>
    <d v="2025-12-31T00:00:00"/>
    <x v="209"/>
    <x v="1"/>
    <x v="162"/>
    <n v="0"/>
    <m/>
    <m/>
    <n v="0"/>
    <n v="0"/>
    <s v="luis.pereirabaptista@russellreynolds.com"/>
    <s v="Keep"/>
  </r>
  <r>
    <s v="Monthly"/>
    <x v="0"/>
    <d v="2025-12-31T00:00:00"/>
    <x v="210"/>
    <x v="0"/>
    <x v="163"/>
    <n v="0"/>
    <m/>
    <m/>
    <n v="0"/>
    <n v="0"/>
    <s v="luis.pereirabaptista@russellreynolds.com"/>
    <s v="Keep"/>
  </r>
  <r>
    <s v="Monthly"/>
    <x v="0"/>
    <d v="2025-12-31T00:00:00"/>
    <x v="211"/>
    <x v="0"/>
    <x v="164"/>
    <n v="1"/>
    <d v="2025-12-09T00:00:00"/>
    <d v="2025-12-17T00:00:00"/>
    <n v="9"/>
    <n v="1"/>
    <s v="lukas.renk@russellreynolds.com"/>
    <s v="Keep"/>
  </r>
  <r>
    <s v="Monthly"/>
    <x v="0"/>
    <d v="2025-12-31T00:00:00"/>
    <x v="2"/>
    <x v="1"/>
    <x v="0"/>
    <n v="0"/>
    <m/>
    <m/>
    <n v="0"/>
    <n v="0"/>
    <s v="lukas.renk@russellreynolds.com"/>
    <s v="Keep"/>
  </r>
  <r>
    <s v="Monthly"/>
    <x v="0"/>
    <d v="2025-12-31T00:00:00"/>
    <x v="2"/>
    <x v="1"/>
    <x v="0"/>
    <n v="0"/>
    <m/>
    <m/>
    <n v="0"/>
    <n v="0"/>
    <s v="luke.higgins@russellreynolds.com"/>
    <s v="Keep"/>
  </r>
  <r>
    <s v="Monthly"/>
    <x v="0"/>
    <d v="2025-12-31T00:00:00"/>
    <x v="2"/>
    <x v="1"/>
    <x v="0"/>
    <n v="0"/>
    <m/>
    <m/>
    <n v="0"/>
    <n v="0"/>
    <s v="luke.higgins@russellreynolds.com"/>
    <s v="Keep"/>
  </r>
  <r>
    <s v="Monthly"/>
    <x v="0"/>
    <d v="2025-12-31T00:00:00"/>
    <x v="2"/>
    <x v="1"/>
    <x v="0"/>
    <n v="0"/>
    <m/>
    <m/>
    <n v="0"/>
    <n v="0"/>
    <s v="luke.higgins@russellreynolds.com"/>
    <s v="Keep"/>
  </r>
  <r>
    <s v="Monthly"/>
    <x v="0"/>
    <d v="2025-12-31T00:00:00"/>
    <x v="2"/>
    <x v="1"/>
    <x v="0"/>
    <n v="0"/>
    <m/>
    <m/>
    <n v="0"/>
    <n v="0"/>
    <s v="luke.higgins@russellreynolds.com"/>
    <s v="Keep"/>
  </r>
  <r>
    <s v="Monthly"/>
    <x v="0"/>
    <d v="2025-12-31T00:00:00"/>
    <x v="2"/>
    <x v="1"/>
    <x v="0"/>
    <n v="0"/>
    <m/>
    <m/>
    <n v="0"/>
    <n v="0"/>
    <s v="lynn.lee@russellreynolds.com"/>
    <s v="Keep"/>
  </r>
  <r>
    <s v="Monthly"/>
    <x v="0"/>
    <d v="2025-12-31T00:00:00"/>
    <x v="212"/>
    <x v="0"/>
    <x v="0"/>
    <n v="1"/>
    <d v="2025-12-08T00:00:00"/>
    <d v="2025-12-08T00:00:00"/>
    <n v="5"/>
    <n v="1"/>
    <s v="maja.kulic@russellreynolds.com"/>
    <s v="Keep"/>
  </r>
  <r>
    <s v="Monthly"/>
    <x v="0"/>
    <d v="2025-12-31T00:00:00"/>
    <x v="213"/>
    <x v="0"/>
    <x v="165"/>
    <n v="1"/>
    <d v="2025-12-04T00:00:00"/>
    <d v="2025-12-12T00:00:00"/>
    <n v="14"/>
    <n v="1"/>
    <s v="maja.kulic@russellreynolds.com"/>
    <s v="Keep"/>
  </r>
  <r>
    <s v="Monthly"/>
    <x v="0"/>
    <d v="2025-12-31T00:00:00"/>
    <x v="214"/>
    <x v="0"/>
    <x v="166"/>
    <n v="1"/>
    <d v="2025-12-03T00:00:00"/>
    <d v="2025-12-23T00:00:00"/>
    <n v="87"/>
    <n v="1"/>
    <s v="maja.kulic@russellreynolds.com"/>
    <s v="Keep"/>
  </r>
  <r>
    <s v="Monthly"/>
    <x v="0"/>
    <d v="2025-12-31T00:00:00"/>
    <x v="2"/>
    <x v="1"/>
    <x v="0"/>
    <n v="0"/>
    <m/>
    <m/>
    <n v="0"/>
    <n v="0"/>
    <s v="makiko.murai@russellreynolds.com"/>
    <s v="Keep"/>
  </r>
  <r>
    <s v="Monthly"/>
    <x v="0"/>
    <d v="2025-12-31T00:00:00"/>
    <x v="2"/>
    <x v="1"/>
    <x v="0"/>
    <n v="0"/>
    <m/>
    <m/>
    <n v="0"/>
    <n v="0"/>
    <s v="manisha.kewalramani@russellreynolds.com"/>
    <s v="Keep"/>
  </r>
  <r>
    <s v="Monthly"/>
    <x v="0"/>
    <d v="2025-12-31T00:00:00"/>
    <x v="215"/>
    <x v="0"/>
    <x v="167"/>
    <n v="1"/>
    <d v="2025-12-01T00:00:00"/>
    <d v="2025-12-23T00:00:00"/>
    <n v="302"/>
    <n v="6"/>
    <s v="marcy.calaway@russellreynolds.com"/>
    <s v="Keep"/>
  </r>
  <r>
    <s v="Monthly"/>
    <x v="0"/>
    <d v="2025-12-31T00:00:00"/>
    <x v="216"/>
    <x v="0"/>
    <x v="168"/>
    <n v="1"/>
    <d v="2025-12-01T00:00:00"/>
    <d v="2025-12-23T00:00:00"/>
    <n v="214"/>
    <n v="2"/>
    <s v="marcy.calaway@russellreynolds.com"/>
    <s v="Keep"/>
  </r>
  <r>
    <s v="Monthly"/>
    <x v="0"/>
    <d v="2025-12-31T00:00:00"/>
    <x v="217"/>
    <x v="0"/>
    <x v="169"/>
    <n v="1"/>
    <d v="2025-12-09T00:00:00"/>
    <d v="2025-12-13T00:00:00"/>
    <n v="12"/>
    <n v="1"/>
    <s v="marcy.calaway@russellreynolds.com"/>
    <s v="Exclude"/>
  </r>
  <r>
    <s v="Monthly"/>
    <x v="0"/>
    <d v="2025-12-31T00:00:00"/>
    <x v="218"/>
    <x v="0"/>
    <x v="170"/>
    <n v="0"/>
    <m/>
    <m/>
    <n v="0"/>
    <n v="0"/>
    <s v="marcy.calaway@russellreynolds.com"/>
    <s v="Exclude"/>
  </r>
  <r>
    <s v="Monthly"/>
    <x v="0"/>
    <d v="2025-12-31T00:00:00"/>
    <x v="2"/>
    <x v="1"/>
    <x v="0"/>
    <n v="0"/>
    <m/>
    <m/>
    <n v="0"/>
    <n v="0"/>
    <s v="margot.mcshane@russellreynolds.com"/>
    <s v="Keep"/>
  </r>
  <r>
    <s v="Monthly"/>
    <x v="0"/>
    <d v="2025-12-31T00:00:00"/>
    <x v="219"/>
    <x v="1"/>
    <x v="171"/>
    <n v="1"/>
    <d v="2025-12-17T00:00:00"/>
    <d v="2025-12-17T00:00:00"/>
    <n v="4"/>
    <n v="1"/>
    <s v="margot.schenck@russellreynolds.com"/>
    <s v="Keep"/>
  </r>
  <r>
    <s v="Monthly"/>
    <x v="0"/>
    <d v="2025-12-31T00:00:00"/>
    <x v="220"/>
    <x v="1"/>
    <x v="172"/>
    <n v="0"/>
    <m/>
    <m/>
    <n v="0"/>
    <n v="0"/>
    <s v="maria.basler@russellreynolds.com"/>
    <s v="Keep"/>
  </r>
  <r>
    <s v="Monthly"/>
    <x v="0"/>
    <d v="2025-12-31T00:00:00"/>
    <x v="221"/>
    <x v="1"/>
    <x v="0"/>
    <n v="0"/>
    <m/>
    <m/>
    <n v="0"/>
    <n v="0"/>
    <s v="maria.raga@russellreynolds.com"/>
    <s v="Keep"/>
  </r>
  <r>
    <s v="Monthly"/>
    <x v="0"/>
    <d v="2025-12-31T00:00:00"/>
    <x v="221"/>
    <x v="1"/>
    <x v="0"/>
    <n v="0"/>
    <m/>
    <m/>
    <n v="0"/>
    <n v="0"/>
    <s v="maria.raga@russellreynolds.com"/>
    <s v="Keep"/>
  </r>
  <r>
    <s v="Monthly"/>
    <x v="0"/>
    <d v="2025-12-31T00:00:00"/>
    <x v="221"/>
    <x v="1"/>
    <x v="0"/>
    <n v="0"/>
    <m/>
    <m/>
    <n v="0"/>
    <n v="0"/>
    <s v="maria.raga@russellreynolds.com"/>
    <s v="Keep"/>
  </r>
  <r>
    <s v="Monthly"/>
    <x v="0"/>
    <d v="2025-12-31T00:00:00"/>
    <x v="2"/>
    <x v="1"/>
    <x v="0"/>
    <n v="0"/>
    <m/>
    <m/>
    <n v="0"/>
    <n v="0"/>
    <s v="maria.raga@russellreynolds.com"/>
    <s v="Keep"/>
  </r>
  <r>
    <s v="Monthly"/>
    <x v="0"/>
    <d v="2025-12-31T00:00:00"/>
    <x v="2"/>
    <x v="1"/>
    <x v="0"/>
    <n v="0"/>
    <m/>
    <m/>
    <n v="0"/>
    <n v="0"/>
    <s v="mariana.xavier@russellreynolds.com"/>
    <s v="Keep"/>
  </r>
  <r>
    <s v="Monthly"/>
    <x v="0"/>
    <d v="2025-12-31T00:00:00"/>
    <x v="222"/>
    <x v="1"/>
    <x v="0"/>
    <n v="0"/>
    <m/>
    <m/>
    <n v="0"/>
    <n v="0"/>
    <s v="marie.est@russellreynolds.com"/>
    <s v="Keep"/>
  </r>
  <r>
    <s v="Monthly"/>
    <x v="0"/>
    <d v="2025-12-31T00:00:00"/>
    <x v="2"/>
    <x v="1"/>
    <x v="0"/>
    <n v="0"/>
    <m/>
    <m/>
    <n v="0"/>
    <n v="0"/>
    <s v="marie-eve.soder@russellreynolds.com"/>
    <s v="Keep"/>
  </r>
  <r>
    <s v="Monthly"/>
    <x v="0"/>
    <d v="2025-12-31T00:00:00"/>
    <x v="223"/>
    <x v="1"/>
    <x v="173"/>
    <n v="1"/>
    <d v="2025-12-04T00:00:00"/>
    <d v="2025-12-04T00:00:00"/>
    <n v="37"/>
    <n v="1"/>
    <s v="mark.fastabend@russellreynolds.com"/>
    <s v="Keep"/>
  </r>
  <r>
    <s v="Monthly"/>
    <x v="0"/>
    <d v="2025-12-31T00:00:00"/>
    <x v="224"/>
    <x v="1"/>
    <x v="174"/>
    <n v="0"/>
    <m/>
    <m/>
    <n v="0"/>
    <n v="0"/>
    <s v="markus.knopf@russellreynolds.com"/>
    <s v="Keep"/>
  </r>
  <r>
    <s v="Monthly"/>
    <x v="0"/>
    <d v="2025-12-31T00:00:00"/>
    <x v="225"/>
    <x v="1"/>
    <x v="175"/>
    <n v="0"/>
    <m/>
    <m/>
    <n v="0"/>
    <n v="0"/>
    <s v="markus.knopf@russellreynolds.com"/>
    <s v="Keep"/>
  </r>
  <r>
    <s v="Monthly"/>
    <x v="0"/>
    <d v="2025-12-31T00:00:00"/>
    <x v="226"/>
    <x v="1"/>
    <x v="176"/>
    <n v="0"/>
    <m/>
    <m/>
    <n v="0"/>
    <n v="0"/>
    <s v="markus.knopf@russellreynolds.com"/>
    <s v="Keep"/>
  </r>
  <r>
    <s v="Monthly"/>
    <x v="0"/>
    <d v="2025-12-31T00:00:00"/>
    <x v="2"/>
    <x v="1"/>
    <x v="0"/>
    <n v="0"/>
    <m/>
    <m/>
    <n v="0"/>
    <n v="0"/>
    <s v="megan.moftakhar@russellreynolds.com"/>
    <s v="Keep"/>
  </r>
  <r>
    <s v="Monthly"/>
    <x v="0"/>
    <d v="2025-12-31T00:00:00"/>
    <x v="197"/>
    <x v="1"/>
    <x v="177"/>
    <n v="0"/>
    <m/>
    <m/>
    <n v="0"/>
    <n v="0"/>
    <s v="melanie.berry@russellreynolds.com"/>
    <s v="Keep"/>
  </r>
  <r>
    <s v="Monthly"/>
    <x v="0"/>
    <d v="2025-12-31T00:00:00"/>
    <x v="227"/>
    <x v="0"/>
    <x v="0"/>
    <n v="1"/>
    <d v="2025-12-03T00:00:00"/>
    <d v="2025-12-23T00:00:00"/>
    <n v="12"/>
    <n v="1"/>
    <s v="melanie.polke@russellreynolds.com"/>
    <s v="Keep"/>
  </r>
  <r>
    <s v="Monthly"/>
    <x v="0"/>
    <d v="2025-12-31T00:00:00"/>
    <x v="2"/>
    <x v="1"/>
    <x v="0"/>
    <n v="0"/>
    <m/>
    <m/>
    <n v="0"/>
    <n v="0"/>
    <s v="merrick.chaffer@russellreynolds.com"/>
    <s v="Keep"/>
  </r>
  <r>
    <s v="Monthly"/>
    <x v="0"/>
    <d v="2025-12-31T00:00:00"/>
    <x v="2"/>
    <x v="1"/>
    <x v="0"/>
    <n v="0"/>
    <m/>
    <m/>
    <n v="0"/>
    <n v="0"/>
    <s v="michael.chan@russellreynolds.com"/>
    <s v="Keep"/>
  </r>
  <r>
    <s v="Monthly"/>
    <x v="0"/>
    <d v="2025-12-31T00:00:00"/>
    <x v="2"/>
    <x v="1"/>
    <x v="0"/>
    <n v="0"/>
    <m/>
    <m/>
    <n v="0"/>
    <n v="0"/>
    <s v="michael.egli@russellreynolds.com"/>
    <s v="Keep"/>
  </r>
  <r>
    <s v="Monthly"/>
    <x v="0"/>
    <d v="2025-12-31T00:00:00"/>
    <x v="228"/>
    <x v="1"/>
    <x v="0"/>
    <n v="0"/>
    <m/>
    <m/>
    <n v="0"/>
    <n v="0"/>
    <s v="michael.egli@russellreynolds.com"/>
    <s v="Keep"/>
  </r>
  <r>
    <s v="Monthly"/>
    <x v="0"/>
    <d v="2025-12-31T00:00:00"/>
    <x v="2"/>
    <x v="1"/>
    <x v="0"/>
    <n v="0"/>
    <m/>
    <m/>
    <n v="0"/>
    <n v="0"/>
    <s v="michele.catach@russellreynolds.com"/>
    <s v="Keep"/>
  </r>
  <r>
    <s v="Monthly"/>
    <x v="0"/>
    <d v="2025-12-31T00:00:00"/>
    <x v="229"/>
    <x v="0"/>
    <x v="0"/>
    <n v="1"/>
    <d v="2025-12-06T00:00:00"/>
    <d v="2025-12-16T00:00:00"/>
    <n v="143"/>
    <n v="1"/>
    <s v="michelle.bandklayder@russellreynolds.com"/>
    <s v="Keep"/>
  </r>
  <r>
    <s v="Monthly"/>
    <x v="0"/>
    <d v="2025-12-31T00:00:00"/>
    <x v="230"/>
    <x v="0"/>
    <x v="178"/>
    <n v="1"/>
    <d v="2025-12-15T00:00:00"/>
    <d v="2025-12-19T00:00:00"/>
    <n v="16"/>
    <n v="2"/>
    <s v="michelle.lalonde@russellreynolds.com"/>
    <s v="Keep"/>
  </r>
  <r>
    <s v="Monthly"/>
    <x v="0"/>
    <d v="2025-12-31T00:00:00"/>
    <x v="231"/>
    <x v="0"/>
    <x v="179"/>
    <n v="1"/>
    <d v="2025-12-15T00:00:00"/>
    <d v="2025-12-15T00:00:00"/>
    <n v="1"/>
    <n v="1"/>
    <s v="michelle.lalonde@russellreynolds.com"/>
    <s v="Keep"/>
  </r>
  <r>
    <s v="Monthly"/>
    <x v="0"/>
    <d v="2025-12-31T00:00:00"/>
    <x v="232"/>
    <x v="0"/>
    <x v="180"/>
    <n v="1"/>
    <d v="2025-12-15T00:00:00"/>
    <d v="2025-12-15T00:00:00"/>
    <n v="3"/>
    <n v="1"/>
    <s v="michelle.lalonde@russellreynolds.com"/>
    <s v="Exclude"/>
  </r>
  <r>
    <s v="Monthly"/>
    <x v="0"/>
    <d v="2025-12-31T00:00:00"/>
    <x v="233"/>
    <x v="0"/>
    <x v="181"/>
    <n v="1"/>
    <d v="2025-12-15T00:00:00"/>
    <d v="2025-12-15T00:00:00"/>
    <n v="4"/>
    <n v="1"/>
    <s v="michelle.lalonde@russellreynolds.com"/>
    <s v="Keep"/>
  </r>
  <r>
    <s v="Monthly"/>
    <x v="0"/>
    <d v="2025-12-31T00:00:00"/>
    <x v="234"/>
    <x v="0"/>
    <x v="0"/>
    <n v="1"/>
    <d v="2025-12-17T00:00:00"/>
    <d v="2025-12-17T00:00:00"/>
    <n v="15"/>
    <n v="1"/>
    <s v="michelle.lalonde@russellreynolds.com"/>
    <s v="Keep"/>
  </r>
  <r>
    <s v="Monthly"/>
    <x v="0"/>
    <d v="2025-12-31T00:00:00"/>
    <x v="2"/>
    <x v="1"/>
    <x v="0"/>
    <n v="0"/>
    <m/>
    <m/>
    <n v="0"/>
    <n v="0"/>
    <s v="michelle.lalonde@russellreynolds.com"/>
    <s v="Keep"/>
  </r>
  <r>
    <s v="Monthly"/>
    <x v="0"/>
    <d v="2025-12-31T00:00:00"/>
    <x v="2"/>
    <x v="1"/>
    <x v="0"/>
    <n v="0"/>
    <m/>
    <m/>
    <n v="0"/>
    <n v="0"/>
    <s v="michelle.lalonde@russellreynolds.com"/>
    <s v="Keep"/>
  </r>
  <r>
    <s v="Monthly"/>
    <x v="0"/>
    <d v="2025-12-31T00:00:00"/>
    <x v="2"/>
    <x v="1"/>
    <x v="0"/>
    <n v="0"/>
    <m/>
    <m/>
    <n v="0"/>
    <n v="0"/>
    <s v="michelle.lalonde@russellreynolds.com"/>
    <s v="Keep"/>
  </r>
  <r>
    <s v="Monthly"/>
    <x v="0"/>
    <d v="2025-12-31T00:00:00"/>
    <x v="233"/>
    <x v="1"/>
    <x v="179"/>
    <n v="0"/>
    <m/>
    <m/>
    <n v="0"/>
    <n v="0"/>
    <s v="michelle.lalonde@russellreynolds.com"/>
    <s v="Keep"/>
  </r>
  <r>
    <s v="Monthly"/>
    <x v="0"/>
    <d v="2025-12-31T00:00:00"/>
    <x v="235"/>
    <x v="0"/>
    <x v="182"/>
    <n v="1"/>
    <d v="2025-12-03T00:00:00"/>
    <d v="2025-12-30T00:00:00"/>
    <n v="39"/>
    <n v="10"/>
    <s v="minh.nguyen@russellreynolds.com"/>
    <s v="Keep"/>
  </r>
  <r>
    <s v="Monthly"/>
    <x v="0"/>
    <d v="2025-12-31T00:00:00"/>
    <x v="236"/>
    <x v="0"/>
    <x v="183"/>
    <n v="1"/>
    <d v="2025-12-11T00:00:00"/>
    <d v="2025-12-11T00:00:00"/>
    <n v="1"/>
    <n v="1"/>
    <s v="minh.nguyen@russellreynolds.com"/>
    <s v="Keep"/>
  </r>
  <r>
    <s v="Monthly"/>
    <x v="0"/>
    <d v="2025-12-31T00:00:00"/>
    <x v="237"/>
    <x v="0"/>
    <x v="62"/>
    <n v="1"/>
    <d v="2025-12-18T00:00:00"/>
    <d v="2025-12-18T00:00:00"/>
    <n v="2"/>
    <n v="1"/>
    <s v="minh.nguyen@russellreynolds.com"/>
    <s v="Keep"/>
  </r>
  <r>
    <s v="Monthly"/>
    <x v="0"/>
    <d v="2025-12-31T00:00:00"/>
    <x v="238"/>
    <x v="0"/>
    <x v="184"/>
    <n v="1"/>
    <d v="2025-12-18T00:00:00"/>
    <d v="2025-12-19T00:00:00"/>
    <n v="7"/>
    <n v="1"/>
    <s v="minh.nguyen@russellreynolds.com"/>
    <s v="Keep"/>
  </r>
  <r>
    <s v="Monthly"/>
    <x v="0"/>
    <d v="2025-12-31T00:00:00"/>
    <x v="239"/>
    <x v="0"/>
    <x v="185"/>
    <n v="1"/>
    <d v="2025-12-17T00:00:00"/>
    <d v="2025-12-19T00:00:00"/>
    <n v="8"/>
    <n v="1"/>
    <s v="minh.nguyen@russellreynolds.com"/>
    <s v="Keep"/>
  </r>
  <r>
    <s v="Monthly"/>
    <x v="0"/>
    <d v="2025-12-31T00:00:00"/>
    <x v="240"/>
    <x v="0"/>
    <x v="186"/>
    <n v="0"/>
    <m/>
    <m/>
    <n v="0"/>
    <n v="0"/>
    <s v="minh.nguyen@russellreynolds.com"/>
    <s v="Keep"/>
  </r>
  <r>
    <s v="Monthly"/>
    <x v="0"/>
    <d v="2025-12-31T00:00:00"/>
    <x v="241"/>
    <x v="1"/>
    <x v="0"/>
    <n v="0"/>
    <m/>
    <m/>
    <n v="0"/>
    <n v="0"/>
    <s v="minh.nguyen@russellreynolds.com"/>
    <s v="Keep"/>
  </r>
  <r>
    <s v="Monthly"/>
    <x v="0"/>
    <d v="2025-12-31T00:00:00"/>
    <x v="242"/>
    <x v="0"/>
    <x v="147"/>
    <n v="0"/>
    <m/>
    <m/>
    <n v="0"/>
    <n v="0"/>
    <s v="minh.nguyen@russellreynolds.com"/>
    <s v="Keep"/>
  </r>
  <r>
    <s v="Monthly"/>
    <x v="0"/>
    <d v="2025-12-31T00:00:00"/>
    <x v="243"/>
    <x v="0"/>
    <x v="187"/>
    <n v="0"/>
    <m/>
    <m/>
    <n v="0"/>
    <n v="0"/>
    <s v="minh.nguyen@russellreynolds.com"/>
    <s v="Keep"/>
  </r>
  <r>
    <s v="Monthly"/>
    <x v="0"/>
    <d v="2025-12-31T00:00:00"/>
    <x v="244"/>
    <x v="0"/>
    <x v="188"/>
    <n v="0"/>
    <m/>
    <m/>
    <n v="0"/>
    <n v="0"/>
    <s v="minh.nguyen@russellreynolds.com"/>
    <s v="Keep"/>
  </r>
  <r>
    <s v="Monthly"/>
    <x v="0"/>
    <d v="2025-12-31T00:00:00"/>
    <x v="245"/>
    <x v="1"/>
    <x v="189"/>
    <n v="0"/>
    <m/>
    <m/>
    <n v="0"/>
    <n v="0"/>
    <s v="minh.nguyen@russellreynolds.com"/>
    <s v="Keep"/>
  </r>
  <r>
    <s v="Monthly"/>
    <x v="0"/>
    <d v="2025-12-31T00:00:00"/>
    <x v="246"/>
    <x v="1"/>
    <x v="190"/>
    <n v="0"/>
    <m/>
    <m/>
    <n v="0"/>
    <n v="0"/>
    <s v="minh.nguyen@russellreynolds.com"/>
    <s v="Keep"/>
  </r>
  <r>
    <s v="Monthly"/>
    <x v="0"/>
    <d v="2025-12-31T00:00:00"/>
    <x v="247"/>
    <x v="0"/>
    <x v="185"/>
    <n v="0"/>
    <m/>
    <m/>
    <n v="0"/>
    <n v="0"/>
    <s v="minh.nguyen@russellreynolds.com"/>
    <s v="Keep"/>
  </r>
  <r>
    <s v="Monthly"/>
    <x v="0"/>
    <d v="2025-12-31T00:00:00"/>
    <x v="248"/>
    <x v="0"/>
    <x v="191"/>
    <n v="0"/>
    <m/>
    <m/>
    <n v="0"/>
    <n v="0"/>
    <s v="minh.nguyen@russellreynolds.com"/>
    <s v="Keep"/>
  </r>
  <r>
    <s v="Monthly"/>
    <x v="0"/>
    <d v="2025-12-31T00:00:00"/>
    <x v="2"/>
    <x v="1"/>
    <x v="0"/>
    <n v="0"/>
    <m/>
    <m/>
    <n v="0"/>
    <n v="0"/>
    <s v="minh.nguyen@russellreynolds.com"/>
    <s v="Keep"/>
  </r>
  <r>
    <s v="Monthly"/>
    <x v="0"/>
    <d v="2025-12-31T00:00:00"/>
    <x v="249"/>
    <x v="0"/>
    <x v="192"/>
    <n v="0"/>
    <m/>
    <m/>
    <n v="0"/>
    <n v="0"/>
    <s v="minh.nguyen@russellreynolds.com"/>
    <s v="Keep"/>
  </r>
  <r>
    <s v="Monthly"/>
    <x v="0"/>
    <d v="2025-12-31T00:00:00"/>
    <x v="250"/>
    <x v="0"/>
    <x v="193"/>
    <n v="0"/>
    <m/>
    <m/>
    <n v="0"/>
    <n v="0"/>
    <s v="minh.nguyen@russellreynolds.com"/>
    <s v="Keep"/>
  </r>
  <r>
    <s v="Monthly"/>
    <x v="0"/>
    <d v="2025-12-31T00:00:00"/>
    <x v="251"/>
    <x v="0"/>
    <x v="194"/>
    <n v="0"/>
    <m/>
    <m/>
    <n v="0"/>
    <n v="0"/>
    <s v="minh.nguyen@russellreynolds.com"/>
    <s v="Keep"/>
  </r>
  <r>
    <s v="Monthly"/>
    <x v="0"/>
    <d v="2025-12-31T00:00:00"/>
    <x v="2"/>
    <x v="1"/>
    <x v="0"/>
    <n v="0"/>
    <m/>
    <m/>
    <n v="0"/>
    <n v="0"/>
    <s v="misha.martinez@russellreynolds.com"/>
    <s v="Keep"/>
  </r>
  <r>
    <s v="Monthly"/>
    <x v="0"/>
    <d v="2025-12-31T00:00:00"/>
    <x v="2"/>
    <x v="1"/>
    <x v="195"/>
    <n v="1"/>
    <d v="2025-12-29T00:00:00"/>
    <d v="2025-12-29T00:00:00"/>
    <n v="2"/>
    <n v="1"/>
    <s v="morgan.dyson@russellreynolds.com"/>
    <s v="Keep"/>
  </r>
  <r>
    <s v="Monthly"/>
    <x v="0"/>
    <d v="2025-12-31T00:00:00"/>
    <x v="252"/>
    <x v="1"/>
    <x v="196"/>
    <n v="1"/>
    <d v="2025-12-29T00:00:00"/>
    <d v="2025-12-29T00:00:00"/>
    <n v="7"/>
    <n v="1"/>
    <s v="morgan.dyson@russellreynolds.com"/>
    <s v="Keep"/>
  </r>
  <r>
    <s v="Monthly"/>
    <x v="0"/>
    <d v="2025-12-31T00:00:00"/>
    <x v="253"/>
    <x v="0"/>
    <x v="197"/>
    <n v="1"/>
    <d v="2025-12-29T00:00:00"/>
    <d v="2025-12-29T00:00:00"/>
    <n v="12"/>
    <n v="1"/>
    <s v="morgan.dyson@russellreynolds.com"/>
    <s v="Keep"/>
  </r>
  <r>
    <s v="Monthly"/>
    <x v="0"/>
    <d v="2025-12-31T00:00:00"/>
    <x v="2"/>
    <x v="1"/>
    <x v="0"/>
    <n v="0"/>
    <m/>
    <m/>
    <n v="0"/>
    <n v="0"/>
    <s v="morgan.dyson@russellreynolds.com"/>
    <s v="Keep"/>
  </r>
  <r>
    <s v="Monthly"/>
    <x v="0"/>
    <d v="2025-12-31T00:00:00"/>
    <x v="2"/>
    <x v="1"/>
    <x v="0"/>
    <n v="0"/>
    <m/>
    <m/>
    <n v="0"/>
    <n v="0"/>
    <s v="muskan.agrawal@russellreynolds.com"/>
    <s v="Keep"/>
  </r>
  <r>
    <s v="Monthly"/>
    <x v="0"/>
    <d v="2025-12-31T00:00:00"/>
    <x v="2"/>
    <x v="1"/>
    <x v="0"/>
    <n v="0"/>
    <m/>
    <m/>
    <n v="0"/>
    <n v="0"/>
    <s v="muskan.agrawal@russellreynolds.com"/>
    <s v="Keep"/>
  </r>
  <r>
    <s v="Monthly"/>
    <x v="0"/>
    <d v="2025-12-31T00:00:00"/>
    <x v="2"/>
    <x v="1"/>
    <x v="0"/>
    <n v="0"/>
    <m/>
    <m/>
    <n v="0"/>
    <n v="0"/>
    <s v="nalina.shapiro@russellreynolds.com"/>
    <s v="Keep"/>
  </r>
  <r>
    <s v="Monthly"/>
    <x v="0"/>
    <d v="2025-12-31T00:00:00"/>
    <x v="2"/>
    <x v="1"/>
    <x v="0"/>
    <n v="0"/>
    <m/>
    <m/>
    <n v="0"/>
    <n v="0"/>
    <s v="natalie.leiner@russellreynolds.com"/>
    <s v="Keep"/>
  </r>
  <r>
    <s v="Monthly"/>
    <x v="0"/>
    <d v="2025-12-31T00:00:00"/>
    <x v="2"/>
    <x v="1"/>
    <x v="0"/>
    <n v="0"/>
    <m/>
    <m/>
    <n v="0"/>
    <n v="0"/>
    <s v="natalie.murphy@russellreynolds.com"/>
    <s v="Keep"/>
  </r>
  <r>
    <s v="Monthly"/>
    <x v="0"/>
    <d v="2025-12-31T00:00:00"/>
    <x v="2"/>
    <x v="1"/>
    <x v="0"/>
    <n v="0"/>
    <m/>
    <m/>
    <n v="0"/>
    <n v="0"/>
    <s v="naveen.sebastian@russellreynolds.com"/>
    <s v="Keep"/>
  </r>
  <r>
    <s v="Monthly"/>
    <x v="0"/>
    <d v="2025-12-31T00:00:00"/>
    <x v="2"/>
    <x v="1"/>
    <x v="0"/>
    <n v="0"/>
    <m/>
    <m/>
    <n v="0"/>
    <n v="0"/>
    <s v="naveen.sebastian@russellreynolds.com"/>
    <s v="Keep"/>
  </r>
  <r>
    <s v="Monthly"/>
    <x v="0"/>
    <d v="2025-12-31T00:00:00"/>
    <x v="254"/>
    <x v="1"/>
    <x v="198"/>
    <n v="0"/>
    <m/>
    <m/>
    <n v="0"/>
    <n v="0"/>
    <s v="naveen.sebastian@russellreynolds.com"/>
    <s v="Keep"/>
  </r>
  <r>
    <s v="Monthly"/>
    <x v="0"/>
    <d v="2025-12-31T00:00:00"/>
    <x v="2"/>
    <x v="1"/>
    <x v="0"/>
    <n v="0"/>
    <m/>
    <m/>
    <n v="0"/>
    <n v="0"/>
    <s v="neha.baksh@russellreynolds.com"/>
    <s v="Keep"/>
  </r>
  <r>
    <s v="Monthly"/>
    <x v="0"/>
    <d v="2025-12-31T00:00:00"/>
    <x v="2"/>
    <x v="1"/>
    <x v="0"/>
    <n v="0"/>
    <m/>
    <m/>
    <n v="0"/>
    <n v="0"/>
    <s v="neha.baksh@russellreynolds.com"/>
    <s v="Keep"/>
  </r>
  <r>
    <s v="Monthly"/>
    <x v="0"/>
    <d v="2025-12-31T00:00:00"/>
    <x v="2"/>
    <x v="1"/>
    <x v="0"/>
    <n v="0"/>
    <m/>
    <m/>
    <n v="0"/>
    <n v="0"/>
    <s v="neha.baksh@russellreynolds.com"/>
    <s v="Keep"/>
  </r>
  <r>
    <s v="Monthly"/>
    <x v="0"/>
    <d v="2025-12-31T00:00:00"/>
    <x v="255"/>
    <x v="1"/>
    <x v="0"/>
    <n v="0"/>
    <m/>
    <m/>
    <n v="0"/>
    <n v="0"/>
    <s v="neha.baksh@russellreynolds.com"/>
    <s v="Keep"/>
  </r>
  <r>
    <s v="Monthly"/>
    <x v="0"/>
    <d v="2025-12-31T00:00:00"/>
    <x v="256"/>
    <x v="0"/>
    <x v="199"/>
    <n v="0"/>
    <m/>
    <m/>
    <n v="0"/>
    <n v="0"/>
    <s v="neha.baksh@russellreynolds.com"/>
    <s v="Keep"/>
  </r>
  <r>
    <s v="Monthly"/>
    <x v="0"/>
    <d v="2025-12-31T00:00:00"/>
    <x v="2"/>
    <x v="1"/>
    <x v="0"/>
    <n v="0"/>
    <m/>
    <m/>
    <n v="0"/>
    <n v="0"/>
    <s v="neha.baksh@russellreynolds.com"/>
    <s v="Keep"/>
  </r>
  <r>
    <s v="Monthly"/>
    <x v="0"/>
    <d v="2025-12-31T00:00:00"/>
    <x v="2"/>
    <x v="1"/>
    <x v="0"/>
    <n v="0"/>
    <m/>
    <m/>
    <n v="0"/>
    <n v="0"/>
    <s v="netila.demneri@russellreynolds.com"/>
    <s v="Keep"/>
  </r>
  <r>
    <s v="Monthly"/>
    <x v="0"/>
    <d v="2025-12-31T00:00:00"/>
    <x v="2"/>
    <x v="1"/>
    <x v="0"/>
    <n v="0"/>
    <m/>
    <m/>
    <n v="0"/>
    <n v="0"/>
    <s v="netila.demneri@russellreynolds.com"/>
    <s v="Keep"/>
  </r>
  <r>
    <s v="Monthly"/>
    <x v="0"/>
    <d v="2025-12-31T00:00:00"/>
    <x v="257"/>
    <x v="0"/>
    <x v="200"/>
    <n v="1"/>
    <d v="2025-12-08T00:00:00"/>
    <d v="2025-12-09T00:00:00"/>
    <n v="112"/>
    <n v="1"/>
    <s v="nic.blomfield@russellreynolds.com"/>
    <s v="Keep"/>
  </r>
  <r>
    <s v="Monthly"/>
    <x v="0"/>
    <d v="2025-12-31T00:00:00"/>
    <x v="258"/>
    <x v="1"/>
    <x v="201"/>
    <n v="0"/>
    <m/>
    <m/>
    <n v="0"/>
    <n v="0"/>
    <s v="nic.blomfield@russellreynolds.com"/>
    <s v="Keep"/>
  </r>
  <r>
    <s v="Monthly"/>
    <x v="0"/>
    <d v="2025-12-31T00:00:00"/>
    <x v="2"/>
    <x v="1"/>
    <x v="0"/>
    <n v="0"/>
    <m/>
    <m/>
    <n v="0"/>
    <n v="0"/>
    <s v="nicole.mai@russellreynolds.com"/>
    <s v="Keep"/>
  </r>
  <r>
    <s v="Monthly"/>
    <x v="0"/>
    <d v="2025-12-31T00:00:00"/>
    <x v="259"/>
    <x v="1"/>
    <x v="202"/>
    <n v="1"/>
    <d v="2025-12-17T00:00:00"/>
    <d v="2025-12-17T00:00:00"/>
    <n v="18"/>
    <n v="1"/>
    <s v="nisa.qosja@russellreynolds.com"/>
    <s v="Keep"/>
  </r>
  <r>
    <s v="Monthly"/>
    <x v="0"/>
    <d v="2025-12-31T00:00:00"/>
    <x v="260"/>
    <x v="0"/>
    <x v="0"/>
    <n v="1"/>
    <d v="2025-12-03T00:00:00"/>
    <d v="2025-12-03T00:00:00"/>
    <n v="5"/>
    <n v="1"/>
    <s v="palak.naik@russellreynolds.com"/>
    <s v="Keep"/>
  </r>
  <r>
    <s v="Monthly"/>
    <x v="0"/>
    <d v="2025-12-31T00:00:00"/>
    <x v="261"/>
    <x v="0"/>
    <x v="203"/>
    <n v="0"/>
    <m/>
    <m/>
    <n v="0"/>
    <n v="0"/>
    <s v="palak.naik@russellreynolds.com"/>
    <s v="Keep"/>
  </r>
  <r>
    <s v="Monthly"/>
    <x v="0"/>
    <d v="2025-12-31T00:00:00"/>
    <x v="262"/>
    <x v="0"/>
    <x v="204"/>
    <n v="0"/>
    <m/>
    <m/>
    <n v="0"/>
    <n v="0"/>
    <s v="palak.naik@russellreynolds.com"/>
    <s v="Keep"/>
  </r>
  <r>
    <s v="Monthly"/>
    <x v="0"/>
    <d v="2025-12-31T00:00:00"/>
    <x v="2"/>
    <x v="1"/>
    <x v="205"/>
    <n v="0"/>
    <m/>
    <m/>
    <n v="0"/>
    <n v="0"/>
    <s v="palak.naik@russellreynolds.com"/>
    <s v="Keep"/>
  </r>
  <r>
    <s v="Monthly"/>
    <x v="0"/>
    <d v="2025-12-31T00:00:00"/>
    <x v="2"/>
    <x v="1"/>
    <x v="206"/>
    <n v="0"/>
    <m/>
    <m/>
    <n v="0"/>
    <n v="0"/>
    <s v="palak.naik@russellreynolds.com"/>
    <s v="Keep"/>
  </r>
  <r>
    <s v="Monthly"/>
    <x v="0"/>
    <d v="2025-12-31T00:00:00"/>
    <x v="2"/>
    <x v="1"/>
    <x v="0"/>
    <n v="0"/>
    <m/>
    <m/>
    <n v="0"/>
    <n v="0"/>
    <s v="partha.saidapet@russellreynolds.com"/>
    <s v="Keep"/>
  </r>
  <r>
    <s v="Monthly"/>
    <x v="0"/>
    <d v="2025-12-31T00:00:00"/>
    <x v="263"/>
    <x v="0"/>
    <x v="207"/>
    <n v="1"/>
    <d v="2025-12-01T00:00:00"/>
    <d v="2025-12-19T00:00:00"/>
    <n v="124"/>
    <n v="5"/>
    <s v="pascal.becotte@russellreynolds.com"/>
    <s v="Keep"/>
  </r>
  <r>
    <s v="Monthly"/>
    <x v="0"/>
    <d v="2025-12-31T00:00:00"/>
    <x v="2"/>
    <x v="1"/>
    <x v="0"/>
    <n v="0"/>
    <m/>
    <m/>
    <n v="0"/>
    <n v="0"/>
    <s v="patu.bajaj@russellreynolds.com"/>
    <s v="Keep"/>
  </r>
  <r>
    <s v="Monthly"/>
    <x v="0"/>
    <d v="2025-12-31T00:00:00"/>
    <x v="264"/>
    <x v="1"/>
    <x v="208"/>
    <n v="1"/>
    <d v="2025-12-18T00:00:00"/>
    <d v="2025-12-18T00:00:00"/>
    <n v="2"/>
    <n v="1"/>
    <s v="paul.deremer@russellreynolds.com"/>
    <s v="Keep"/>
  </r>
  <r>
    <s v="Monthly"/>
    <x v="0"/>
    <d v="2025-12-31T00:00:00"/>
    <x v="2"/>
    <x v="1"/>
    <x v="0"/>
    <n v="0"/>
    <m/>
    <m/>
    <n v="0"/>
    <n v="0"/>
    <s v="paul.deremer@russellreynolds.com"/>
    <s v="Keep"/>
  </r>
  <r>
    <s v="Monthly"/>
    <x v="0"/>
    <d v="2025-12-31T00:00:00"/>
    <x v="265"/>
    <x v="0"/>
    <x v="209"/>
    <n v="1"/>
    <d v="2025-12-01T00:00:00"/>
    <d v="2025-12-23T00:00:00"/>
    <n v="40"/>
    <n v="1"/>
    <s v="purnima.arora@russellreynolds.com"/>
    <s v="Keep"/>
  </r>
  <r>
    <s v="Monthly"/>
    <x v="0"/>
    <d v="2025-12-31T00:00:00"/>
    <x v="2"/>
    <x v="1"/>
    <x v="0"/>
    <n v="0"/>
    <m/>
    <m/>
    <n v="0"/>
    <n v="0"/>
    <s v="purnima.arora@russellreynolds.com"/>
    <s v="Keep"/>
  </r>
  <r>
    <s v="Monthly"/>
    <x v="0"/>
    <d v="2025-12-31T00:00:00"/>
    <x v="266"/>
    <x v="0"/>
    <x v="210"/>
    <n v="0"/>
    <m/>
    <m/>
    <n v="0"/>
    <n v="0"/>
    <s v="purnima.arora@russellreynolds.com"/>
    <s v="Keep"/>
  </r>
  <r>
    <s v="Monthly"/>
    <x v="0"/>
    <d v="2025-12-31T00:00:00"/>
    <x v="267"/>
    <x v="1"/>
    <x v="211"/>
    <n v="0"/>
    <m/>
    <m/>
    <n v="0"/>
    <n v="0"/>
    <s v="purnima.arora@russellreynolds.com"/>
    <s v="Keep"/>
  </r>
  <r>
    <s v="Monthly"/>
    <x v="0"/>
    <d v="2025-12-31T00:00:00"/>
    <x v="268"/>
    <x v="0"/>
    <x v="212"/>
    <n v="0"/>
    <m/>
    <m/>
    <n v="0"/>
    <n v="0"/>
    <s v="purnima.arora@russellreynolds.com"/>
    <s v="Keep"/>
  </r>
  <r>
    <s v="Monthly"/>
    <x v="0"/>
    <d v="2025-12-31T00:00:00"/>
    <x v="2"/>
    <x v="1"/>
    <x v="213"/>
    <n v="0"/>
    <m/>
    <m/>
    <n v="0"/>
    <n v="0"/>
    <s v="purnima.arora@russellreynolds.com"/>
    <s v="Keep"/>
  </r>
  <r>
    <s v="Monthly"/>
    <x v="0"/>
    <d v="2025-12-31T00:00:00"/>
    <x v="2"/>
    <x v="1"/>
    <x v="214"/>
    <n v="0"/>
    <m/>
    <m/>
    <n v="0"/>
    <n v="0"/>
    <s v="purnima.arora@russellreynolds.com"/>
    <s v="Keep"/>
  </r>
  <r>
    <s v="Monthly"/>
    <x v="0"/>
    <d v="2025-12-31T00:00:00"/>
    <x v="269"/>
    <x v="0"/>
    <x v="215"/>
    <n v="1"/>
    <d v="2025-12-03T00:00:00"/>
    <d v="2025-12-12T00:00:00"/>
    <n v="23"/>
    <n v="1"/>
    <s v="rachel.vargas@russellreynolds.com"/>
    <s v="Keep"/>
  </r>
  <r>
    <s v="Monthly"/>
    <x v="0"/>
    <d v="2025-12-31T00:00:00"/>
    <x v="2"/>
    <x v="1"/>
    <x v="0"/>
    <n v="0"/>
    <m/>
    <m/>
    <n v="0"/>
    <n v="0"/>
    <s v="rafael.martinezgallardo@russellreynolds.com"/>
    <s v="Keep"/>
  </r>
  <r>
    <s v="Monthly"/>
    <x v="0"/>
    <d v="2025-12-31T00:00:00"/>
    <x v="2"/>
    <x v="1"/>
    <x v="0"/>
    <n v="0"/>
    <m/>
    <m/>
    <n v="0"/>
    <n v="0"/>
    <s v="ravish.roshan@russellreynolds.com"/>
    <s v="Keep"/>
  </r>
  <r>
    <s v="Monthly"/>
    <x v="0"/>
    <d v="2025-12-31T00:00:00"/>
    <x v="2"/>
    <x v="1"/>
    <x v="0"/>
    <n v="0"/>
    <m/>
    <m/>
    <n v="0"/>
    <n v="0"/>
    <s v="rebecca.lyken@russellreynolds.com"/>
    <s v="Keep"/>
  </r>
  <r>
    <s v="Monthly"/>
    <x v="0"/>
    <d v="2025-12-31T00:00:00"/>
    <x v="2"/>
    <x v="1"/>
    <x v="0"/>
    <n v="0"/>
    <m/>
    <m/>
    <n v="0"/>
    <n v="0"/>
    <s v="reiaz.rashied@russellreynolds.com"/>
    <s v="Keep"/>
  </r>
  <r>
    <s v="Monthly"/>
    <x v="0"/>
    <d v="2025-12-31T00:00:00"/>
    <x v="2"/>
    <x v="1"/>
    <x v="0"/>
    <n v="0"/>
    <m/>
    <m/>
    <n v="0"/>
    <n v="0"/>
    <s v="richard.davis@russellreynolds.com"/>
    <s v="Keep"/>
  </r>
  <r>
    <s v="Monthly"/>
    <x v="0"/>
    <d v="2025-12-31T00:00:00"/>
    <x v="270"/>
    <x v="1"/>
    <x v="0"/>
    <n v="0"/>
    <m/>
    <m/>
    <n v="0"/>
    <n v="0"/>
    <s v="richard.mcglynn@russellreynolds.com"/>
    <s v="Keep"/>
  </r>
  <r>
    <s v="Monthly"/>
    <x v="0"/>
    <d v="2025-12-31T00:00:00"/>
    <x v="2"/>
    <x v="1"/>
    <x v="0"/>
    <n v="0"/>
    <m/>
    <m/>
    <n v="0"/>
    <n v="0"/>
    <s v="richard.mcglynn@russellreynolds.com"/>
    <s v="Keep"/>
  </r>
  <r>
    <s v="Monthly"/>
    <x v="0"/>
    <d v="2025-12-31T00:00:00"/>
    <x v="271"/>
    <x v="0"/>
    <x v="216"/>
    <n v="1"/>
    <d v="2025-12-01T00:00:00"/>
    <d v="2025-12-17T00:00:00"/>
    <n v="9"/>
    <n v="2"/>
    <s v="ritchie.castree-croad@russellreynolds.com"/>
    <s v="Keep"/>
  </r>
  <r>
    <s v="Monthly"/>
    <x v="0"/>
    <d v="2025-12-31T00:00:00"/>
    <x v="272"/>
    <x v="0"/>
    <x v="217"/>
    <n v="1"/>
    <d v="2025-12-16T00:00:00"/>
    <d v="2025-12-16T00:00:00"/>
    <n v="7"/>
    <n v="1"/>
    <s v="ritchie.castree-croad@russellreynolds.com"/>
    <s v="Keep"/>
  </r>
  <r>
    <s v="Monthly"/>
    <x v="0"/>
    <d v="2025-12-31T00:00:00"/>
    <x v="273"/>
    <x v="0"/>
    <x v="218"/>
    <n v="1"/>
    <d v="2025-12-01T00:00:00"/>
    <d v="2025-12-18T00:00:00"/>
    <n v="62"/>
    <n v="1"/>
    <s v="ritchie.castree-croad@russellreynolds.com"/>
    <s v="Keep"/>
  </r>
  <r>
    <s v="Monthly"/>
    <x v="0"/>
    <d v="2025-12-31T00:00:00"/>
    <x v="274"/>
    <x v="0"/>
    <x v="219"/>
    <n v="0"/>
    <m/>
    <m/>
    <n v="0"/>
    <n v="0"/>
    <s v="ritchie.castree-croad@russellreynolds.com"/>
    <s v="Keep"/>
  </r>
  <r>
    <s v="Monthly"/>
    <x v="0"/>
    <d v="2025-12-31T00:00:00"/>
    <x v="275"/>
    <x v="1"/>
    <x v="220"/>
    <n v="1"/>
    <d v="2025-12-12T00:00:00"/>
    <d v="2025-12-12T00:00:00"/>
    <n v="12"/>
    <n v="1"/>
    <s v="riya.ahuja@russellreynolds.com"/>
    <s v="Keep"/>
  </r>
  <r>
    <s v="Monthly"/>
    <x v="0"/>
    <d v="2025-12-31T00:00:00"/>
    <x v="276"/>
    <x v="1"/>
    <x v="221"/>
    <n v="1"/>
    <d v="2025-12-11T00:00:00"/>
    <d v="2025-12-12T00:00:00"/>
    <n v="17"/>
    <n v="1"/>
    <s v="riya.ahuja@russellreynolds.com"/>
    <s v="Keep"/>
  </r>
  <r>
    <s v="Monthly"/>
    <x v="0"/>
    <d v="2025-12-31T00:00:00"/>
    <x v="2"/>
    <x v="1"/>
    <x v="0"/>
    <n v="0"/>
    <m/>
    <m/>
    <n v="0"/>
    <n v="0"/>
    <s v="robert.gallagher@russellreynolds.com"/>
    <s v="Keep"/>
  </r>
  <r>
    <s v="Monthly"/>
    <x v="0"/>
    <d v="2025-12-31T00:00:00"/>
    <x v="2"/>
    <x v="1"/>
    <x v="0"/>
    <n v="0"/>
    <m/>
    <m/>
    <n v="0"/>
    <n v="0"/>
    <s v="robert.gallagher@russellreynolds.com"/>
    <s v="Keep"/>
  </r>
  <r>
    <s v="Monthly"/>
    <x v="0"/>
    <d v="2025-12-31T00:00:00"/>
    <x v="277"/>
    <x v="1"/>
    <x v="222"/>
    <n v="0"/>
    <m/>
    <m/>
    <n v="0"/>
    <n v="0"/>
    <s v="robert.gallagher@russellreynolds.com"/>
    <s v="Keep"/>
  </r>
  <r>
    <s v="Monthly"/>
    <x v="0"/>
    <d v="2025-12-31T00:00:00"/>
    <x v="2"/>
    <x v="1"/>
    <x v="223"/>
    <n v="0"/>
    <m/>
    <m/>
    <n v="0"/>
    <n v="0"/>
    <s v="robert.gallagher@russellreynolds.com"/>
    <s v="Keep"/>
  </r>
  <r>
    <s v="Monthly"/>
    <x v="0"/>
    <d v="2025-12-31T00:00:00"/>
    <x v="278"/>
    <x v="0"/>
    <x v="224"/>
    <n v="0"/>
    <m/>
    <m/>
    <n v="0"/>
    <n v="0"/>
    <s v="robert.gallagher@russellreynolds.com"/>
    <s v="Keep"/>
  </r>
  <r>
    <s v="Monthly"/>
    <x v="0"/>
    <d v="2025-12-31T00:00:00"/>
    <x v="2"/>
    <x v="1"/>
    <x v="0"/>
    <n v="0"/>
    <m/>
    <m/>
    <n v="0"/>
    <n v="0"/>
    <s v="robert.gallagher@russellreynolds.com"/>
    <s v="Keep"/>
  </r>
  <r>
    <s v="Monthly"/>
    <x v="0"/>
    <d v="2025-12-31T00:00:00"/>
    <x v="2"/>
    <x v="1"/>
    <x v="0"/>
    <n v="0"/>
    <m/>
    <m/>
    <n v="0"/>
    <n v="0"/>
    <s v="robert.macmillan@russellreynolds.com"/>
    <s v="Keep"/>
  </r>
  <r>
    <s v="Monthly"/>
    <x v="0"/>
    <d v="2025-12-31T00:00:00"/>
    <x v="279"/>
    <x v="1"/>
    <x v="225"/>
    <n v="0"/>
    <m/>
    <m/>
    <n v="0"/>
    <n v="0"/>
    <s v="robert.macmillan@russellreynolds.com"/>
    <s v="Keep"/>
  </r>
  <r>
    <s v="Monthly"/>
    <x v="0"/>
    <d v="2025-12-31T00:00:00"/>
    <x v="280"/>
    <x v="1"/>
    <x v="226"/>
    <n v="0"/>
    <m/>
    <m/>
    <n v="0"/>
    <n v="0"/>
    <s v="robert.macmillan@russellreynolds.com"/>
    <s v="Keep"/>
  </r>
  <r>
    <s v="Monthly"/>
    <x v="0"/>
    <d v="2025-12-31T00:00:00"/>
    <x v="281"/>
    <x v="1"/>
    <x v="227"/>
    <n v="1"/>
    <d v="2025-12-18T00:00:00"/>
    <d v="2025-12-18T00:00:00"/>
    <n v="8"/>
    <n v="1"/>
    <s v="roberta.zeme@russellreynolds.com"/>
    <s v="Keep"/>
  </r>
  <r>
    <s v="Monthly"/>
    <x v="0"/>
    <d v="2025-12-31T00:00:00"/>
    <x v="2"/>
    <x v="1"/>
    <x v="0"/>
    <n v="0"/>
    <m/>
    <m/>
    <n v="0"/>
    <n v="0"/>
    <s v="ron.ongley@russellreynolds.com"/>
    <s v="Keep"/>
  </r>
  <r>
    <s v="Monthly"/>
    <x v="0"/>
    <d v="2025-12-31T00:00:00"/>
    <x v="2"/>
    <x v="1"/>
    <x v="0"/>
    <n v="0"/>
    <m/>
    <m/>
    <n v="0"/>
    <n v="0"/>
    <s v="ron.ongley@russellreynolds.com"/>
    <s v="Keep"/>
  </r>
  <r>
    <s v="Monthly"/>
    <x v="0"/>
    <d v="2025-12-31T00:00:00"/>
    <x v="282"/>
    <x v="0"/>
    <x v="228"/>
    <n v="0"/>
    <m/>
    <m/>
    <n v="0"/>
    <n v="0"/>
    <s v="ron.ongley@russellreynolds.com"/>
    <s v="Keep"/>
  </r>
  <r>
    <s v="Monthly"/>
    <x v="0"/>
    <d v="2025-12-31T00:00:00"/>
    <x v="2"/>
    <x v="1"/>
    <x v="0"/>
    <n v="0"/>
    <m/>
    <m/>
    <n v="0"/>
    <n v="0"/>
    <s v="ron.ongley@russellreynolds.com"/>
    <s v="Keep"/>
  </r>
  <r>
    <s v="Monthly"/>
    <x v="0"/>
    <d v="2025-12-31T00:00:00"/>
    <x v="283"/>
    <x v="1"/>
    <x v="229"/>
    <n v="0"/>
    <m/>
    <m/>
    <n v="0"/>
    <n v="0"/>
    <s v="rose.estevez-vidal@russellreynolds.com"/>
    <s v="Keep"/>
  </r>
  <r>
    <s v="Monthly"/>
    <x v="0"/>
    <d v="2025-12-31T00:00:00"/>
    <x v="2"/>
    <x v="1"/>
    <x v="0"/>
    <n v="0"/>
    <m/>
    <m/>
    <n v="0"/>
    <n v="0"/>
    <s v="rowena.valencia@russellreynolds.com"/>
    <s v="Keep"/>
  </r>
  <r>
    <s v="Monthly"/>
    <x v="0"/>
    <d v="2025-12-31T00:00:00"/>
    <x v="284"/>
    <x v="0"/>
    <x v="0"/>
    <n v="0"/>
    <m/>
    <m/>
    <n v="0"/>
    <n v="0"/>
    <s v="rowena.valencia@russellreynolds.com"/>
    <s v="Keep"/>
  </r>
  <r>
    <s v="Monthly"/>
    <x v="0"/>
    <d v="2025-12-31T00:00:00"/>
    <x v="285"/>
    <x v="1"/>
    <x v="230"/>
    <n v="1"/>
    <d v="2025-12-01T00:00:00"/>
    <d v="2025-12-01T00:00:00"/>
    <n v="40"/>
    <n v="1"/>
    <s v="runa.kitzing@russellreynolds.com"/>
    <s v="Keep"/>
  </r>
  <r>
    <s v="Monthly"/>
    <x v="0"/>
    <d v="2025-12-31T00:00:00"/>
    <x v="2"/>
    <x v="1"/>
    <x v="0"/>
    <n v="0"/>
    <m/>
    <m/>
    <n v="0"/>
    <n v="0"/>
    <s v="ryan.shaw@russellreynolds.com"/>
    <s v="Keep"/>
  </r>
  <r>
    <s v="Monthly"/>
    <x v="0"/>
    <d v="2025-12-31T00:00:00"/>
    <x v="286"/>
    <x v="0"/>
    <x v="0"/>
    <n v="1"/>
    <d v="2025-12-18T00:00:00"/>
    <d v="2025-12-18T00:00:00"/>
    <n v="2"/>
    <n v="1"/>
    <s v="sam.smith@russellreynolds.com"/>
    <s v="Keep"/>
  </r>
  <r>
    <s v="Monthly"/>
    <x v="0"/>
    <d v="2025-12-31T00:00:00"/>
    <x v="287"/>
    <x v="0"/>
    <x v="231"/>
    <n v="1"/>
    <d v="2025-12-02T00:00:00"/>
    <d v="2025-12-18T00:00:00"/>
    <n v="2"/>
    <n v="1"/>
    <s v="sam.smith@russellreynolds.com"/>
    <s v="Keep"/>
  </r>
  <r>
    <s v="Monthly"/>
    <x v="0"/>
    <d v="2025-12-31T00:00:00"/>
    <x v="288"/>
    <x v="0"/>
    <x v="0"/>
    <n v="1"/>
    <d v="2025-12-01T00:00:00"/>
    <d v="2025-12-10T00:00:00"/>
    <n v="57"/>
    <n v="1"/>
    <s v="sam.smith@russellreynolds.com"/>
    <s v="Keep"/>
  </r>
  <r>
    <s v="Monthly"/>
    <x v="0"/>
    <d v="2025-12-31T00:00:00"/>
    <x v="2"/>
    <x v="1"/>
    <x v="0"/>
    <n v="0"/>
    <m/>
    <m/>
    <n v="0"/>
    <n v="0"/>
    <s v="sara.schneider@russellreynolds.com"/>
    <s v="Keep"/>
  </r>
  <r>
    <s v="Monthly"/>
    <x v="0"/>
    <d v="2025-12-31T00:00:00"/>
    <x v="289"/>
    <x v="1"/>
    <x v="0"/>
    <n v="0"/>
    <m/>
    <m/>
    <n v="0"/>
    <n v="0"/>
    <s v="sarah.demeulenaer@russellreynolds.com"/>
    <s v="Keep"/>
  </r>
  <r>
    <s v="Monthly"/>
    <x v="0"/>
    <d v="2025-12-31T00:00:00"/>
    <x v="5"/>
    <x v="1"/>
    <x v="0"/>
    <n v="0"/>
    <m/>
    <m/>
    <n v="0"/>
    <n v="0"/>
    <s v="sarah.demeulenaer@russellreynolds.com"/>
    <s v="Keep"/>
  </r>
  <r>
    <s v="Monthly"/>
    <x v="0"/>
    <d v="2025-12-31T00:00:00"/>
    <x v="120"/>
    <x v="0"/>
    <x v="0"/>
    <n v="0"/>
    <m/>
    <m/>
    <n v="0"/>
    <n v="0"/>
    <s v="sarah.demeulenaer@russellreynolds.com"/>
    <s v="Keep"/>
  </r>
  <r>
    <s v="Monthly"/>
    <x v="0"/>
    <d v="2025-12-31T00:00:00"/>
    <x v="5"/>
    <x v="1"/>
    <x v="0"/>
    <n v="0"/>
    <m/>
    <m/>
    <n v="0"/>
    <n v="0"/>
    <s v="sarah.demeulenaer@russellreynolds.com"/>
    <s v="Keep"/>
  </r>
  <r>
    <s v="Monthly"/>
    <x v="0"/>
    <d v="2025-12-31T00:00:00"/>
    <x v="290"/>
    <x v="0"/>
    <x v="232"/>
    <n v="1"/>
    <d v="2025-12-01T00:00:00"/>
    <d v="2025-12-30T00:00:00"/>
    <n v="40"/>
    <n v="4"/>
    <s v="sarah.lermsider@russellreynolds.com"/>
    <s v="Keep"/>
  </r>
  <r>
    <s v="Monthly"/>
    <x v="0"/>
    <d v="2025-12-31T00:00:00"/>
    <x v="291"/>
    <x v="0"/>
    <x v="233"/>
    <n v="1"/>
    <d v="2025-12-22T00:00:00"/>
    <d v="2025-12-23T00:00:00"/>
    <n v="5"/>
    <n v="2"/>
    <s v="sarah.lermsider@russellreynolds.com"/>
    <s v="Keep"/>
  </r>
  <r>
    <s v="Monthly"/>
    <x v="0"/>
    <d v="2025-12-31T00:00:00"/>
    <x v="292"/>
    <x v="0"/>
    <x v="234"/>
    <n v="1"/>
    <d v="2025-12-03T00:00:00"/>
    <d v="2025-12-03T00:00:00"/>
    <n v="1"/>
    <n v="1"/>
    <s v="sarah.lermsider@russellreynolds.com"/>
    <s v="Keep"/>
  </r>
  <r>
    <s v="Monthly"/>
    <x v="0"/>
    <d v="2025-12-31T00:00:00"/>
    <x v="293"/>
    <x v="0"/>
    <x v="235"/>
    <n v="1"/>
    <d v="2025-12-12T00:00:00"/>
    <d v="2025-12-22T00:00:00"/>
    <n v="3"/>
    <n v="1"/>
    <s v="sarah.lermsider@russellreynolds.com"/>
    <s v="Keep"/>
  </r>
  <r>
    <s v="Monthly"/>
    <x v="0"/>
    <d v="2025-12-31T00:00:00"/>
    <x v="294"/>
    <x v="0"/>
    <x v="236"/>
    <n v="1"/>
    <d v="2025-12-16T00:00:00"/>
    <d v="2025-12-16T00:00:00"/>
    <n v="4"/>
    <n v="1"/>
    <s v="sarah.lermsider@russellreynolds.com"/>
    <s v="Keep"/>
  </r>
  <r>
    <s v="Monthly"/>
    <x v="0"/>
    <d v="2025-12-31T00:00:00"/>
    <x v="295"/>
    <x v="0"/>
    <x v="237"/>
    <n v="1"/>
    <d v="2025-12-07T00:00:00"/>
    <d v="2025-12-22T00:00:00"/>
    <n v="6"/>
    <n v="1"/>
    <s v="sarah.lermsider@russellreynolds.com"/>
    <s v="Keep"/>
  </r>
  <r>
    <s v="Monthly"/>
    <x v="0"/>
    <d v="2025-12-31T00:00:00"/>
    <x v="296"/>
    <x v="0"/>
    <x v="238"/>
    <n v="1"/>
    <d v="2025-12-12T00:00:00"/>
    <d v="2025-12-12T00:00:00"/>
    <n v="9"/>
    <n v="1"/>
    <s v="sarah.lermsider@russellreynolds.com"/>
    <s v="Keep"/>
  </r>
  <r>
    <s v="Monthly"/>
    <x v="0"/>
    <d v="2025-12-31T00:00:00"/>
    <x v="297"/>
    <x v="0"/>
    <x v="239"/>
    <n v="1"/>
    <d v="2025-12-07T00:00:00"/>
    <d v="2025-12-22T00:00:00"/>
    <n v="23"/>
    <n v="1"/>
    <s v="sarah.lermsider@russellreynolds.com"/>
    <s v="Keep"/>
  </r>
  <r>
    <s v="Monthly"/>
    <x v="0"/>
    <d v="2025-12-31T00:00:00"/>
    <x v="298"/>
    <x v="0"/>
    <x v="240"/>
    <n v="1"/>
    <d v="2025-12-01T00:00:00"/>
    <d v="2025-12-17T00:00:00"/>
    <n v="31"/>
    <n v="1"/>
    <s v="sarah.lermsider@russellreynolds.com"/>
    <s v="Keep"/>
  </r>
  <r>
    <s v="Monthly"/>
    <x v="0"/>
    <d v="2025-12-31T00:00:00"/>
    <x v="299"/>
    <x v="0"/>
    <x v="241"/>
    <n v="0"/>
    <m/>
    <m/>
    <n v="0"/>
    <n v="0"/>
    <s v="sarah.lermsider@russellreynolds.com"/>
    <s v="Keep"/>
  </r>
  <r>
    <s v="Monthly"/>
    <x v="0"/>
    <d v="2025-12-31T00:00:00"/>
    <x v="300"/>
    <x v="0"/>
    <x v="242"/>
    <n v="0"/>
    <m/>
    <m/>
    <n v="0"/>
    <n v="0"/>
    <s v="sarah.lermsider@russellreynolds.com"/>
    <s v="Keep"/>
  </r>
  <r>
    <s v="Monthly"/>
    <x v="0"/>
    <d v="2025-12-31T00:00:00"/>
    <x v="301"/>
    <x v="1"/>
    <x v="0"/>
    <n v="0"/>
    <m/>
    <m/>
    <n v="0"/>
    <n v="0"/>
    <s v="sarah.lermsider@russellreynolds.com"/>
    <s v="Keep"/>
  </r>
  <r>
    <s v="Monthly"/>
    <x v="0"/>
    <d v="2025-12-31T00:00:00"/>
    <x v="302"/>
    <x v="0"/>
    <x v="243"/>
    <n v="0"/>
    <m/>
    <m/>
    <n v="0"/>
    <n v="0"/>
    <s v="sarah.lermsider@russellreynolds.com"/>
    <s v="Keep"/>
  </r>
  <r>
    <s v="Monthly"/>
    <x v="0"/>
    <d v="2025-12-31T00:00:00"/>
    <x v="303"/>
    <x v="0"/>
    <x v="244"/>
    <n v="0"/>
    <m/>
    <m/>
    <n v="0"/>
    <n v="0"/>
    <s v="sarah.lermsider@russellreynolds.com"/>
    <s v="Keep"/>
  </r>
  <r>
    <s v="Monthly"/>
    <x v="0"/>
    <d v="2025-12-31T00:00:00"/>
    <x v="304"/>
    <x v="0"/>
    <x v="245"/>
    <n v="0"/>
    <m/>
    <m/>
    <n v="0"/>
    <n v="0"/>
    <s v="sarah.lermsider@russellreynolds.com"/>
    <s v="Keep"/>
  </r>
  <r>
    <s v="Monthly"/>
    <x v="0"/>
    <d v="2025-12-31T00:00:00"/>
    <x v="305"/>
    <x v="1"/>
    <x v="232"/>
    <n v="0"/>
    <m/>
    <m/>
    <n v="0"/>
    <n v="0"/>
    <s v="sarah.lermsider@russellreynolds.com"/>
    <s v="Keep"/>
  </r>
  <r>
    <s v="Monthly"/>
    <x v="0"/>
    <d v="2025-12-31T00:00:00"/>
    <x v="2"/>
    <x v="1"/>
    <x v="0"/>
    <n v="0"/>
    <m/>
    <m/>
    <n v="0"/>
    <n v="0"/>
    <s v="sarah.lucasruhland@russellreynolds.com"/>
    <s v="Keep"/>
  </r>
  <r>
    <s v="Monthly"/>
    <x v="0"/>
    <d v="2025-12-31T00:00:00"/>
    <x v="2"/>
    <x v="1"/>
    <x v="0"/>
    <n v="0"/>
    <m/>
    <m/>
    <n v="0"/>
    <n v="0"/>
    <s v="sarah.lucasruhland@russellreynolds.com"/>
    <s v="Keep"/>
  </r>
  <r>
    <s v="Monthly"/>
    <x v="0"/>
    <d v="2025-12-31T00:00:00"/>
    <x v="2"/>
    <x v="1"/>
    <x v="0"/>
    <n v="0"/>
    <m/>
    <m/>
    <n v="0"/>
    <n v="0"/>
    <s v="sarmistha.ghosh@russellreynolds.com"/>
    <s v="Keep"/>
  </r>
  <r>
    <s v="Monthly"/>
    <x v="0"/>
    <d v="2025-12-31T00:00:00"/>
    <x v="306"/>
    <x v="1"/>
    <x v="246"/>
    <n v="0"/>
    <m/>
    <m/>
    <n v="0"/>
    <n v="0"/>
    <s v="seadeladmin@russellreynolds.com"/>
    <s v="Keep"/>
  </r>
  <r>
    <s v="Monthly"/>
    <x v="0"/>
    <d v="2025-12-31T00:00:00"/>
    <x v="2"/>
    <x v="1"/>
    <x v="0"/>
    <n v="0"/>
    <m/>
    <m/>
    <n v="0"/>
    <n v="0"/>
    <s v="seadeladmin@russellreynolds.com"/>
    <s v="Keep"/>
  </r>
  <r>
    <s v="Monthly"/>
    <x v="0"/>
    <d v="2025-12-31T00:00:00"/>
    <x v="307"/>
    <x v="0"/>
    <x v="0"/>
    <n v="1"/>
    <d v="2025-12-03T00:00:00"/>
    <d v="2025-12-19T00:00:00"/>
    <n v="70"/>
    <n v="3"/>
    <s v="sean.delessio@russellreynolds.com"/>
    <s v="Keep"/>
  </r>
  <r>
    <s v="Monthly"/>
    <x v="0"/>
    <d v="2025-12-31T00:00:00"/>
    <x v="308"/>
    <x v="0"/>
    <x v="0"/>
    <n v="1"/>
    <d v="2025-12-01T00:00:00"/>
    <d v="2025-12-01T00:00:00"/>
    <n v="3"/>
    <n v="1"/>
    <s v="sean.delessio@russellreynolds.com"/>
    <s v="Keep"/>
  </r>
  <r>
    <s v="Monthly"/>
    <x v="0"/>
    <d v="2025-12-31T00:00:00"/>
    <x v="309"/>
    <x v="0"/>
    <x v="0"/>
    <n v="1"/>
    <d v="2025-12-01T00:00:00"/>
    <d v="2025-12-01T00:00:00"/>
    <n v="4"/>
    <n v="1"/>
    <s v="sean.delessio@russellreynolds.com"/>
    <s v="Keep"/>
  </r>
  <r>
    <s v="Monthly"/>
    <x v="0"/>
    <d v="2025-12-31T00:00:00"/>
    <x v="310"/>
    <x v="0"/>
    <x v="37"/>
    <n v="0"/>
    <m/>
    <m/>
    <n v="0"/>
    <n v="0"/>
    <s v="sean.delessio@russellreynolds.com"/>
    <s v="Keep"/>
  </r>
  <r>
    <s v="Monthly"/>
    <x v="0"/>
    <d v="2025-12-31T00:00:00"/>
    <x v="311"/>
    <x v="1"/>
    <x v="0"/>
    <n v="0"/>
    <m/>
    <m/>
    <n v="0"/>
    <n v="0"/>
    <s v="sean.delessio@russellreynolds.com"/>
    <s v="Keep"/>
  </r>
  <r>
    <s v="Monthly"/>
    <x v="0"/>
    <d v="2025-12-31T00:00:00"/>
    <x v="312"/>
    <x v="0"/>
    <x v="0"/>
    <n v="0"/>
    <m/>
    <m/>
    <n v="0"/>
    <n v="0"/>
    <s v="sean.delessio@russellreynolds.com"/>
    <s v="Keep"/>
  </r>
  <r>
    <s v="Monthly"/>
    <x v="0"/>
    <d v="2025-12-31T00:00:00"/>
    <x v="313"/>
    <x v="0"/>
    <x v="0"/>
    <n v="0"/>
    <m/>
    <m/>
    <n v="0"/>
    <n v="0"/>
    <s v="sean.delessio@russellreynolds.com"/>
    <s v="Keep"/>
  </r>
  <r>
    <s v="Monthly"/>
    <x v="0"/>
    <d v="2025-12-31T00:00:00"/>
    <x v="314"/>
    <x v="0"/>
    <x v="0"/>
    <n v="0"/>
    <m/>
    <m/>
    <n v="0"/>
    <n v="0"/>
    <s v="sean.delessio@russellreynolds.com"/>
    <s v="Keep"/>
  </r>
  <r>
    <s v="Monthly"/>
    <x v="0"/>
    <d v="2025-12-31T00:00:00"/>
    <x v="315"/>
    <x v="0"/>
    <x v="0"/>
    <n v="0"/>
    <m/>
    <m/>
    <n v="0"/>
    <n v="0"/>
    <s v="sean.delessio@russellreynolds.com"/>
    <s v="Keep"/>
  </r>
  <r>
    <s v="Monthly"/>
    <x v="0"/>
    <d v="2025-12-31T00:00:00"/>
    <x v="316"/>
    <x v="0"/>
    <x v="247"/>
    <n v="0"/>
    <m/>
    <m/>
    <n v="0"/>
    <n v="0"/>
    <s v="sean.delessio@russellreynolds.com"/>
    <s v="Keep"/>
  </r>
  <r>
    <s v="Monthly"/>
    <x v="0"/>
    <d v="2025-12-31T00:00:00"/>
    <x v="317"/>
    <x v="0"/>
    <x v="0"/>
    <n v="0"/>
    <m/>
    <m/>
    <n v="0"/>
    <n v="0"/>
    <s v="sean.delessio@russellreynolds.com"/>
    <s v="Keep"/>
  </r>
  <r>
    <s v="Monthly"/>
    <x v="0"/>
    <d v="2025-12-31T00:00:00"/>
    <x v="318"/>
    <x v="0"/>
    <x v="248"/>
    <n v="0"/>
    <m/>
    <m/>
    <n v="0"/>
    <n v="0"/>
    <s v="sean.delessio@russellreynolds.com"/>
    <s v="Keep"/>
  </r>
  <r>
    <s v="Monthly"/>
    <x v="0"/>
    <d v="2025-12-31T00:00:00"/>
    <x v="2"/>
    <x v="1"/>
    <x v="0"/>
    <n v="0"/>
    <m/>
    <m/>
    <n v="0"/>
    <n v="0"/>
    <s v="sean.dineen@russellreynolds.com"/>
    <s v="Keep"/>
  </r>
  <r>
    <s v="Monthly"/>
    <x v="0"/>
    <d v="2025-12-31T00:00:00"/>
    <x v="319"/>
    <x v="0"/>
    <x v="249"/>
    <n v="1"/>
    <d v="2025-12-05T00:00:00"/>
    <d v="2025-12-18T00:00:00"/>
    <n v="44"/>
    <n v="1"/>
    <s v="sean.gooze@russellreynolds.com"/>
    <s v="Keep"/>
  </r>
  <r>
    <s v="Monthly"/>
    <x v="0"/>
    <d v="2025-12-31T00:00:00"/>
    <x v="320"/>
    <x v="0"/>
    <x v="0"/>
    <n v="1"/>
    <d v="2025-12-01T00:00:00"/>
    <d v="2025-12-08T00:00:00"/>
    <n v="65"/>
    <n v="4"/>
    <s v="sharad.awasthi@russellreynolds.com"/>
    <s v="Keep"/>
  </r>
  <r>
    <s v="Monthly"/>
    <x v="0"/>
    <d v="2025-12-31T00:00:00"/>
    <x v="321"/>
    <x v="0"/>
    <x v="0"/>
    <n v="1"/>
    <d v="2025-12-05T00:00:00"/>
    <d v="2025-12-08T00:00:00"/>
    <n v="35"/>
    <n v="2"/>
    <s v="sharad.awasthi@russellreynolds.com"/>
    <s v="Keep"/>
  </r>
  <r>
    <s v="Monthly"/>
    <x v="0"/>
    <d v="2025-12-31T00:00:00"/>
    <x v="322"/>
    <x v="0"/>
    <x v="0"/>
    <n v="1"/>
    <d v="2025-12-04T00:00:00"/>
    <d v="2025-12-09T00:00:00"/>
    <n v="4"/>
    <n v="1"/>
    <s v="sharad.awasthi@russellreynolds.com"/>
    <s v="Keep"/>
  </r>
  <r>
    <s v="Monthly"/>
    <x v="0"/>
    <d v="2025-12-31T00:00:00"/>
    <x v="323"/>
    <x v="0"/>
    <x v="0"/>
    <n v="0"/>
    <m/>
    <m/>
    <n v="0"/>
    <n v="0"/>
    <s v="sharad.awasthi@russellreynolds.com"/>
    <s v="Keep"/>
  </r>
  <r>
    <s v="Monthly"/>
    <x v="0"/>
    <d v="2025-12-31T00:00:00"/>
    <x v="2"/>
    <x v="1"/>
    <x v="0"/>
    <n v="0"/>
    <m/>
    <m/>
    <n v="0"/>
    <n v="0"/>
    <s v="sharad.awasthi@russellreynolds.com"/>
    <s v="Keep"/>
  </r>
  <r>
    <s v="Monthly"/>
    <x v="0"/>
    <d v="2025-12-31T00:00:00"/>
    <x v="2"/>
    <x v="1"/>
    <x v="0"/>
    <n v="0"/>
    <m/>
    <m/>
    <n v="0"/>
    <n v="0"/>
    <s v="shelby.henry@russellreynolds.com"/>
    <s v="Keep"/>
  </r>
  <r>
    <s v="Monthly"/>
    <x v="0"/>
    <d v="2025-12-31T00:00:00"/>
    <x v="2"/>
    <x v="1"/>
    <x v="0"/>
    <n v="0"/>
    <m/>
    <m/>
    <n v="0"/>
    <n v="0"/>
    <s v="sibylle.lane@russellreynolds.com"/>
    <s v="Keep"/>
  </r>
  <r>
    <s v="Monthly"/>
    <x v="0"/>
    <d v="2025-12-31T00:00:00"/>
    <x v="2"/>
    <x v="1"/>
    <x v="0"/>
    <n v="0"/>
    <m/>
    <m/>
    <n v="0"/>
    <n v="0"/>
    <s v="sophie.gilliatt@russellreynolds.com"/>
    <s v="Keep"/>
  </r>
  <r>
    <s v="Monthly"/>
    <x v="0"/>
    <d v="2025-12-31T00:00:00"/>
    <x v="2"/>
    <x v="1"/>
    <x v="0"/>
    <n v="0"/>
    <m/>
    <m/>
    <n v="0"/>
    <n v="0"/>
    <s v="sophie.vanorden@russellreynolds.com"/>
    <s v="Keep"/>
  </r>
  <r>
    <s v="Monthly"/>
    <x v="0"/>
    <d v="2025-12-31T00:00:00"/>
    <x v="2"/>
    <x v="1"/>
    <x v="0"/>
    <n v="0"/>
    <m/>
    <m/>
    <n v="0"/>
    <n v="0"/>
    <s v="sophie.yiannopoulos@russellreynolds.com"/>
    <s v="Keep"/>
  </r>
  <r>
    <s v="Monthly"/>
    <x v="0"/>
    <d v="2025-12-31T00:00:00"/>
    <x v="324"/>
    <x v="1"/>
    <x v="250"/>
    <n v="1"/>
    <d v="2025-12-17T00:00:00"/>
    <d v="2025-12-18T00:00:00"/>
    <n v="11"/>
    <n v="1"/>
    <s v="stacey.mazurek@russellreynolds.com"/>
    <s v="Keep"/>
  </r>
  <r>
    <s v="Monthly"/>
    <x v="0"/>
    <d v="2025-12-31T00:00:00"/>
    <x v="2"/>
    <x v="1"/>
    <x v="0"/>
    <n v="0"/>
    <m/>
    <m/>
    <n v="0"/>
    <n v="0"/>
    <s v="stephanie.tomasso@russellreynolds.com"/>
    <s v="Keep"/>
  </r>
  <r>
    <s v="Monthly"/>
    <x v="0"/>
    <d v="2025-12-31T00:00:00"/>
    <x v="325"/>
    <x v="0"/>
    <x v="251"/>
    <n v="1"/>
    <d v="2025-12-05T00:00:00"/>
    <d v="2025-12-18T00:00:00"/>
    <n v="93"/>
    <n v="1"/>
    <s v="stephen.brown@russellreynolds.com"/>
    <s v="Keep"/>
  </r>
  <r>
    <s v="Monthly"/>
    <x v="0"/>
    <d v="2025-12-31T00:00:00"/>
    <x v="2"/>
    <x v="1"/>
    <x v="0"/>
    <n v="0"/>
    <m/>
    <m/>
    <n v="0"/>
    <n v="0"/>
    <s v="stephen.brown@russellreynolds.com"/>
    <s v="Keep"/>
  </r>
  <r>
    <s v="Monthly"/>
    <x v="0"/>
    <d v="2025-12-31T00:00:00"/>
    <x v="326"/>
    <x v="0"/>
    <x v="252"/>
    <n v="0"/>
    <m/>
    <m/>
    <n v="0"/>
    <n v="0"/>
    <s v="stephen.brown@russellreynolds.com"/>
    <s v="Keep"/>
  </r>
  <r>
    <s v="Monthly"/>
    <x v="0"/>
    <d v="2025-12-31T00:00:00"/>
    <x v="2"/>
    <x v="1"/>
    <x v="0"/>
    <n v="0"/>
    <m/>
    <m/>
    <n v="0"/>
    <n v="0"/>
    <s v="stephen.brown@russellreynolds.com"/>
    <s v="Keep"/>
  </r>
  <r>
    <s v="Monthly"/>
    <x v="0"/>
    <d v="2025-12-31T00:00:00"/>
    <x v="327"/>
    <x v="1"/>
    <x v="253"/>
    <n v="0"/>
    <m/>
    <m/>
    <n v="0"/>
    <n v="0"/>
    <s v="surbhi.patel@russellreynolds.com"/>
    <s v="Keep"/>
  </r>
  <r>
    <s v="Monthly"/>
    <x v="0"/>
    <d v="2025-12-31T00:00:00"/>
    <x v="25"/>
    <x v="0"/>
    <x v="254"/>
    <n v="0"/>
    <m/>
    <m/>
    <n v="0"/>
    <n v="0"/>
    <s v="susan.hendel@russellreynolds.com"/>
    <s v="Keep"/>
  </r>
  <r>
    <s v="Monthly"/>
    <x v="0"/>
    <d v="2025-12-31T00:00:00"/>
    <x v="328"/>
    <x v="0"/>
    <x v="255"/>
    <n v="1"/>
    <d v="2025-12-02T00:00:00"/>
    <d v="2025-12-11T00:00:00"/>
    <n v="80"/>
    <n v="2"/>
    <s v="susie.sell@russellreynolds.com"/>
    <s v="Keep"/>
  </r>
  <r>
    <s v="Monthly"/>
    <x v="0"/>
    <d v="2025-12-31T00:00:00"/>
    <x v="329"/>
    <x v="0"/>
    <x v="256"/>
    <n v="1"/>
    <d v="2025-12-01T00:00:00"/>
    <d v="2025-12-12T00:00:00"/>
    <n v="280"/>
    <n v="2"/>
    <s v="susie.sell@russellreynolds.com"/>
    <s v="Keep"/>
  </r>
  <r>
    <s v="Monthly"/>
    <x v="0"/>
    <d v="2025-12-31T00:00:00"/>
    <x v="330"/>
    <x v="1"/>
    <x v="257"/>
    <n v="1"/>
    <d v="2025-12-03T00:00:00"/>
    <d v="2025-12-31T00:00:00"/>
    <n v="60"/>
    <n v="1"/>
    <s v="susie.sell@russellreynolds.com"/>
    <s v="Keep"/>
  </r>
  <r>
    <s v="Monthly"/>
    <x v="0"/>
    <d v="2025-12-31T00:00:00"/>
    <x v="331"/>
    <x v="1"/>
    <x v="258"/>
    <n v="1"/>
    <d v="2025-12-02T00:00:00"/>
    <d v="2025-12-11T00:00:00"/>
    <n v="94"/>
    <n v="1"/>
    <s v="susie.sell@russellreynolds.com"/>
    <s v="Keep"/>
  </r>
  <r>
    <s v="Monthly"/>
    <x v="0"/>
    <d v="2025-12-31T00:00:00"/>
    <x v="332"/>
    <x v="0"/>
    <x v="259"/>
    <n v="0"/>
    <m/>
    <m/>
    <n v="0"/>
    <n v="0"/>
    <s v="susie.sell@russellreynolds.com"/>
    <s v="Keep"/>
  </r>
  <r>
    <s v="Monthly"/>
    <x v="0"/>
    <d v="2025-12-31T00:00:00"/>
    <x v="333"/>
    <x v="1"/>
    <x v="260"/>
    <n v="0"/>
    <m/>
    <m/>
    <n v="0"/>
    <n v="0"/>
    <s v="susie.sell@russellreynolds.com"/>
    <s v="Keep"/>
  </r>
  <r>
    <s v="Monthly"/>
    <x v="0"/>
    <d v="2025-12-31T00:00:00"/>
    <x v="334"/>
    <x v="1"/>
    <x v="261"/>
    <n v="0"/>
    <m/>
    <m/>
    <n v="0"/>
    <n v="0"/>
    <s v="susie.sell@russellreynolds.com"/>
    <s v="Keep"/>
  </r>
  <r>
    <s v="Monthly"/>
    <x v="0"/>
    <d v="2025-12-31T00:00:00"/>
    <x v="335"/>
    <x v="1"/>
    <x v="262"/>
    <n v="0"/>
    <m/>
    <m/>
    <n v="0"/>
    <n v="0"/>
    <s v="susie.sell@russellreynolds.com"/>
    <s v="Keep"/>
  </r>
  <r>
    <s v="Monthly"/>
    <x v="0"/>
    <d v="2025-12-31T00:00:00"/>
    <x v="2"/>
    <x v="1"/>
    <x v="0"/>
    <n v="0"/>
    <m/>
    <m/>
    <n v="0"/>
    <n v="0"/>
    <s v="susie.sell@russellreynolds.com"/>
    <s v="Keep"/>
  </r>
  <r>
    <s v="Monthly"/>
    <x v="0"/>
    <d v="2025-12-31T00:00:00"/>
    <x v="2"/>
    <x v="1"/>
    <x v="0"/>
    <n v="0"/>
    <m/>
    <m/>
    <n v="0"/>
    <n v="0"/>
    <s v="susie.sell@russellreynolds.com"/>
    <s v="Keep"/>
  </r>
  <r>
    <s v="Monthly"/>
    <x v="0"/>
    <d v="2025-12-31T00:00:00"/>
    <x v="336"/>
    <x v="1"/>
    <x v="263"/>
    <n v="0"/>
    <m/>
    <m/>
    <n v="0"/>
    <n v="0"/>
    <s v="sylwia.swaczynska@russellreynolds.com"/>
    <s v="Keep"/>
  </r>
  <r>
    <s v="Monthly"/>
    <x v="0"/>
    <d v="2025-12-31T00:00:00"/>
    <x v="2"/>
    <x v="1"/>
    <x v="0"/>
    <n v="0"/>
    <m/>
    <m/>
    <n v="0"/>
    <n v="0"/>
    <s v="sylwia.swaczynska@russellreynolds.com"/>
    <s v="Keep"/>
  </r>
  <r>
    <s v="Monthly"/>
    <x v="0"/>
    <d v="2025-12-31T00:00:00"/>
    <x v="2"/>
    <x v="1"/>
    <x v="0"/>
    <n v="0"/>
    <m/>
    <m/>
    <n v="0"/>
    <n v="0"/>
    <s v="sylwia.swaczynska@russellreynolds.com"/>
    <s v="Keep"/>
  </r>
  <r>
    <s v="Monthly"/>
    <x v="0"/>
    <d v="2025-12-31T00:00:00"/>
    <x v="2"/>
    <x v="1"/>
    <x v="0"/>
    <n v="0"/>
    <m/>
    <m/>
    <n v="0"/>
    <n v="0"/>
    <s v="sylwia.swaczynska@russellreynolds.com"/>
    <s v="Keep"/>
  </r>
  <r>
    <s v="Monthly"/>
    <x v="0"/>
    <d v="2025-12-31T00:00:00"/>
    <x v="337"/>
    <x v="1"/>
    <x v="264"/>
    <n v="0"/>
    <m/>
    <m/>
    <n v="0"/>
    <n v="0"/>
    <s v="sylwia.swaczynska@russellreynolds.com"/>
    <s v="Keep"/>
  </r>
  <r>
    <s v="Monthly"/>
    <x v="0"/>
    <d v="2025-12-31T00:00:00"/>
    <x v="338"/>
    <x v="1"/>
    <x v="0"/>
    <n v="0"/>
    <m/>
    <m/>
    <n v="0"/>
    <n v="0"/>
    <s v="sylwia.swaczynska@russellreynolds.com"/>
    <s v="Keep"/>
  </r>
  <r>
    <s v="Monthly"/>
    <x v="0"/>
    <d v="2025-12-31T00:00:00"/>
    <x v="2"/>
    <x v="1"/>
    <x v="0"/>
    <n v="0"/>
    <m/>
    <m/>
    <n v="0"/>
    <n v="0"/>
    <s v="tara.nensi@russellreynolds.com"/>
    <s v="Keep"/>
  </r>
  <r>
    <s v="Monthly"/>
    <x v="0"/>
    <d v="2025-12-31T00:00:00"/>
    <x v="339"/>
    <x v="1"/>
    <x v="0"/>
    <n v="1"/>
    <d v="2025-12-01T00:00:00"/>
    <d v="2025-12-01T00:00:00"/>
    <n v="13"/>
    <n v="1"/>
    <s v="tatiana.palatchi@russellreynolds.com"/>
    <s v="Keep"/>
  </r>
  <r>
    <s v="Monthly"/>
    <x v="0"/>
    <d v="2025-12-31T00:00:00"/>
    <x v="2"/>
    <x v="1"/>
    <x v="0"/>
    <n v="0"/>
    <m/>
    <m/>
    <n v="0"/>
    <n v="0"/>
    <s v="tatiana.palatchi@russellreynolds.com"/>
    <s v="Keep"/>
  </r>
  <r>
    <s v="Monthly"/>
    <x v="0"/>
    <d v="2025-12-31T00:00:00"/>
    <x v="339"/>
    <x v="1"/>
    <x v="265"/>
    <n v="0"/>
    <m/>
    <m/>
    <n v="0"/>
    <n v="0"/>
    <s v="tatiana.palatchi@russellreynolds.com"/>
    <s v="Keep"/>
  </r>
  <r>
    <s v="Monthly"/>
    <x v="0"/>
    <d v="2025-12-31T00:00:00"/>
    <x v="2"/>
    <x v="1"/>
    <x v="0"/>
    <n v="0"/>
    <m/>
    <m/>
    <n v="0"/>
    <n v="0"/>
    <s v="tatiana.palatchi@russellreynolds.com"/>
    <s v="Keep"/>
  </r>
  <r>
    <s v="Monthly"/>
    <x v="0"/>
    <d v="2025-12-31T00:00:00"/>
    <x v="2"/>
    <x v="1"/>
    <x v="0"/>
    <n v="0"/>
    <m/>
    <m/>
    <n v="0"/>
    <n v="0"/>
    <s v="tatiana.velloso@russellreynolds.com"/>
    <s v="Keep"/>
  </r>
  <r>
    <s v="Monthly"/>
    <x v="0"/>
    <d v="2025-12-31T00:00:00"/>
    <x v="340"/>
    <x v="0"/>
    <x v="266"/>
    <n v="1"/>
    <d v="2025-12-05T00:00:00"/>
    <d v="2025-12-05T00:00:00"/>
    <n v="1"/>
    <n v="1"/>
    <s v="tavis.barr@russellreynolds.com"/>
    <s v="Keep"/>
  </r>
  <r>
    <s v="Monthly"/>
    <x v="0"/>
    <d v="2025-12-31T00:00:00"/>
    <x v="341"/>
    <x v="0"/>
    <x v="267"/>
    <n v="0"/>
    <m/>
    <m/>
    <n v="0"/>
    <n v="0"/>
    <s v="tavis.barr@russellreynolds.com"/>
    <s v="Keep"/>
  </r>
  <r>
    <s v="Monthly"/>
    <x v="0"/>
    <d v="2025-12-31T00:00:00"/>
    <x v="342"/>
    <x v="0"/>
    <x v="268"/>
    <n v="0"/>
    <m/>
    <m/>
    <n v="0"/>
    <n v="0"/>
    <s v="tavis.barr@russellreynolds.com"/>
    <s v="Keep"/>
  </r>
  <r>
    <s v="Monthly"/>
    <x v="0"/>
    <d v="2025-12-31T00:00:00"/>
    <x v="343"/>
    <x v="0"/>
    <x v="269"/>
    <n v="0"/>
    <m/>
    <m/>
    <n v="0"/>
    <n v="0"/>
    <s v="tavis.barr@russellreynolds.com"/>
    <s v="Keep"/>
  </r>
  <r>
    <s v="Monthly"/>
    <x v="0"/>
    <d v="2025-12-31T00:00:00"/>
    <x v="344"/>
    <x v="0"/>
    <x v="267"/>
    <n v="0"/>
    <m/>
    <m/>
    <n v="0"/>
    <n v="0"/>
    <s v="tavis.barr@russellreynolds.com"/>
    <s v="Keep"/>
  </r>
  <r>
    <s v="Monthly"/>
    <x v="0"/>
    <d v="2025-12-31T00:00:00"/>
    <x v="345"/>
    <x v="0"/>
    <x v="270"/>
    <n v="0"/>
    <m/>
    <m/>
    <n v="0"/>
    <n v="0"/>
    <s v="tavis.barr@russellreynolds.com"/>
    <s v="Keep"/>
  </r>
  <r>
    <s v="Monthly"/>
    <x v="0"/>
    <d v="2025-12-31T00:00:00"/>
    <x v="346"/>
    <x v="0"/>
    <x v="271"/>
    <n v="0"/>
    <m/>
    <m/>
    <n v="0"/>
    <n v="0"/>
    <s v="tavis.barr@russellreynolds.com"/>
    <s v="Keep"/>
  </r>
  <r>
    <s v="Monthly"/>
    <x v="0"/>
    <d v="2025-12-31T00:00:00"/>
    <x v="2"/>
    <x v="1"/>
    <x v="0"/>
    <n v="0"/>
    <m/>
    <m/>
    <n v="0"/>
    <n v="0"/>
    <s v="tess.namane@russellreynolds.com"/>
    <s v="Keep"/>
  </r>
  <r>
    <s v="Monthly"/>
    <x v="0"/>
    <d v="2025-12-31T00:00:00"/>
    <x v="2"/>
    <x v="1"/>
    <x v="0"/>
    <n v="0"/>
    <m/>
    <m/>
    <n v="0"/>
    <n v="0"/>
    <s v="thor.lange@russellreynolds.com"/>
    <s v="Keep"/>
  </r>
  <r>
    <s v="Monthly"/>
    <x v="0"/>
    <d v="2025-12-31T00:00:00"/>
    <x v="2"/>
    <x v="1"/>
    <x v="0"/>
    <n v="0"/>
    <m/>
    <m/>
    <n v="0"/>
    <n v="0"/>
    <s v="tim.vranckx@russellreynolds.com"/>
    <s v="Keep"/>
  </r>
  <r>
    <s v="Monthly"/>
    <x v="0"/>
    <d v="2025-12-31T00:00:00"/>
    <x v="347"/>
    <x v="0"/>
    <x v="272"/>
    <n v="1"/>
    <d v="2025-12-08T00:00:00"/>
    <d v="2025-12-08T00:00:00"/>
    <n v="11"/>
    <n v="1"/>
    <s v="tom.roets@russellreynolds.com"/>
    <s v="Keep"/>
  </r>
  <r>
    <s v="Monthly"/>
    <x v="0"/>
    <d v="2025-12-31T00:00:00"/>
    <x v="348"/>
    <x v="0"/>
    <x v="273"/>
    <n v="0"/>
    <m/>
    <m/>
    <n v="0"/>
    <n v="0"/>
    <s v="tom.roets@russellreynolds.com"/>
    <s v="Keep"/>
  </r>
  <r>
    <s v="Monthly"/>
    <x v="0"/>
    <d v="2025-12-31T00:00:00"/>
    <x v="349"/>
    <x v="1"/>
    <x v="274"/>
    <n v="0"/>
    <m/>
    <m/>
    <n v="0"/>
    <n v="0"/>
    <s v="tomasz.hus@russellreynolds.com"/>
    <s v="Keep"/>
  </r>
  <r>
    <s v="Monthly"/>
    <x v="0"/>
    <d v="2025-12-31T00:00:00"/>
    <x v="2"/>
    <x v="1"/>
    <x v="0"/>
    <n v="0"/>
    <m/>
    <m/>
    <n v="0"/>
    <n v="0"/>
    <s v="tomasz.hus@russellreynolds.com"/>
    <s v="Keep"/>
  </r>
  <r>
    <s v="Monthly"/>
    <x v="0"/>
    <d v="2025-12-31T00:00:00"/>
    <x v="2"/>
    <x v="1"/>
    <x v="0"/>
    <n v="0"/>
    <m/>
    <m/>
    <n v="0"/>
    <n v="0"/>
    <s v="valentina.vujeva@russellreynolds.com"/>
    <s v="Keep"/>
  </r>
  <r>
    <s v="Monthly"/>
    <x v="0"/>
    <d v="2025-12-31T00:00:00"/>
    <x v="350"/>
    <x v="0"/>
    <x v="275"/>
    <n v="0"/>
    <m/>
    <m/>
    <n v="0"/>
    <n v="0"/>
    <s v="valerie.fortin@russellreynolds.com"/>
    <s v="Keep"/>
  </r>
  <r>
    <s v="Monthly"/>
    <x v="0"/>
    <d v="2025-12-31T00:00:00"/>
    <x v="351"/>
    <x v="0"/>
    <x v="0"/>
    <n v="0"/>
    <m/>
    <m/>
    <n v="0"/>
    <n v="0"/>
    <s v="valerie.fortin@russellreynolds.com"/>
    <s v="Keep"/>
  </r>
  <r>
    <s v="Monthly"/>
    <x v="0"/>
    <d v="2025-12-31T00:00:00"/>
    <x v="352"/>
    <x v="0"/>
    <x v="276"/>
    <n v="0"/>
    <m/>
    <m/>
    <n v="0"/>
    <n v="0"/>
    <s v="valerie.fortin@russellreynolds.com"/>
    <s v="Keep"/>
  </r>
  <r>
    <s v="Monthly"/>
    <x v="0"/>
    <d v="2025-12-31T00:00:00"/>
    <x v="353"/>
    <x v="0"/>
    <x v="277"/>
    <n v="0"/>
    <m/>
    <m/>
    <n v="0"/>
    <n v="0"/>
    <s v="valerie.fortin@russellreynolds.com"/>
    <s v="Keep"/>
  </r>
  <r>
    <s v="Monthly"/>
    <x v="0"/>
    <d v="2025-12-31T00:00:00"/>
    <x v="354"/>
    <x v="0"/>
    <x v="278"/>
    <n v="1"/>
    <d v="2025-12-01T00:00:00"/>
    <d v="2025-12-30T00:00:00"/>
    <n v="1808"/>
    <n v="193"/>
    <s v="vijay.yadav@russellreynolds.com"/>
    <s v="Exclude"/>
  </r>
  <r>
    <s v="Monthly"/>
    <x v="0"/>
    <d v="2025-12-31T00:00:00"/>
    <x v="355"/>
    <x v="0"/>
    <x v="279"/>
    <n v="1"/>
    <d v="2025-12-01T00:00:00"/>
    <d v="2025-12-31T00:00:00"/>
    <n v="1606"/>
    <n v="120"/>
    <s v="vijay.yadav@russellreynolds.com"/>
    <s v="Exclude"/>
  </r>
  <r>
    <s v="Monthly"/>
    <x v="0"/>
    <d v="2025-12-31T00:00:00"/>
    <x v="356"/>
    <x v="0"/>
    <x v="118"/>
    <n v="1"/>
    <d v="2025-12-01T00:00:00"/>
    <d v="2025-12-18T00:00:00"/>
    <n v="111"/>
    <n v="5"/>
    <s v="vijay.yadav@russellreynolds.com"/>
    <s v="Exclude"/>
  </r>
  <r>
    <s v="Monthly"/>
    <x v="0"/>
    <d v="2025-12-31T00:00:00"/>
    <x v="357"/>
    <x v="0"/>
    <x v="117"/>
    <n v="1"/>
    <d v="2025-12-01T00:00:00"/>
    <d v="2025-12-18T00:00:00"/>
    <n v="58"/>
    <n v="4"/>
    <s v="vijay.yadav@russellreynolds.com"/>
    <s v="Keep"/>
  </r>
  <r>
    <s v="Monthly"/>
    <x v="0"/>
    <d v="2025-12-31T00:00:00"/>
    <x v="358"/>
    <x v="0"/>
    <x v="117"/>
    <n v="1"/>
    <d v="2025-12-01T00:00:00"/>
    <d v="2025-12-29T00:00:00"/>
    <n v="347"/>
    <n v="3"/>
    <s v="vijay.yadav@russellreynolds.com"/>
    <s v="Keep"/>
  </r>
  <r>
    <s v="Monthly"/>
    <x v="0"/>
    <d v="2025-12-31T00:00:00"/>
    <x v="359"/>
    <x v="0"/>
    <x v="118"/>
    <n v="1"/>
    <d v="2025-12-01T00:00:00"/>
    <d v="2025-12-31T00:00:00"/>
    <n v="402"/>
    <n v="3"/>
    <s v="vijay.yadav@russellreynolds.com"/>
    <s v="Exclude"/>
  </r>
  <r>
    <s v="Monthly"/>
    <x v="0"/>
    <d v="2025-12-31T00:00:00"/>
    <x v="360"/>
    <x v="0"/>
    <x v="280"/>
    <n v="1"/>
    <d v="2025-12-17T00:00:00"/>
    <d v="2025-12-17T00:00:00"/>
    <n v="9"/>
    <n v="2"/>
    <s v="vijay.yadav@russellreynolds.com"/>
    <s v="Keep"/>
  </r>
  <r>
    <s v="Monthly"/>
    <x v="0"/>
    <d v="2025-12-31T00:00:00"/>
    <x v="361"/>
    <x v="0"/>
    <x v="281"/>
    <n v="1"/>
    <d v="2025-12-16T00:00:00"/>
    <d v="2025-12-19T00:00:00"/>
    <n v="96"/>
    <n v="2"/>
    <s v="vijay.yadav@russellreynolds.com"/>
    <s v="Exclude"/>
  </r>
  <r>
    <s v="Monthly"/>
    <x v="0"/>
    <d v="2025-12-31T00:00:00"/>
    <x v="362"/>
    <x v="0"/>
    <x v="282"/>
    <n v="1"/>
    <d v="2025-12-05T00:00:00"/>
    <d v="2025-12-05T00:00:00"/>
    <n v="2"/>
    <n v="1"/>
    <s v="vijay.yadav@russellreynolds.com"/>
    <s v="Keep"/>
  </r>
  <r>
    <s v="Monthly"/>
    <x v="0"/>
    <d v="2025-12-31T00:00:00"/>
    <x v="363"/>
    <x v="1"/>
    <x v="0"/>
    <n v="0"/>
    <m/>
    <m/>
    <n v="0"/>
    <n v="0"/>
    <s v="vijay.yadav@russellreynolds.com"/>
    <s v="Keep"/>
  </r>
  <r>
    <s v="Monthly"/>
    <x v="0"/>
    <d v="2025-12-31T00:00:00"/>
    <x v="364"/>
    <x v="0"/>
    <x v="283"/>
    <n v="0"/>
    <m/>
    <m/>
    <n v="0"/>
    <n v="0"/>
    <s v="vijay.yadav@russellreynolds.com"/>
    <s v="Keep"/>
  </r>
  <r>
    <s v="Monthly"/>
    <x v="0"/>
    <d v="2025-12-31T00:00:00"/>
    <x v="365"/>
    <x v="1"/>
    <x v="0"/>
    <n v="0"/>
    <m/>
    <m/>
    <n v="0"/>
    <n v="0"/>
    <s v="vijay.yadav@russellreynolds.com"/>
    <s v="Keep"/>
  </r>
  <r>
    <s v="Monthly"/>
    <x v="0"/>
    <d v="2025-12-31T00:00:00"/>
    <x v="366"/>
    <x v="0"/>
    <x v="0"/>
    <n v="0"/>
    <m/>
    <m/>
    <n v="0"/>
    <n v="0"/>
    <s v="vijay.yadav@russellreynolds.com"/>
    <s v="Keep"/>
  </r>
  <r>
    <s v="Monthly"/>
    <x v="0"/>
    <d v="2025-12-31T00:00:00"/>
    <x v="367"/>
    <x v="0"/>
    <x v="283"/>
    <n v="0"/>
    <m/>
    <m/>
    <n v="0"/>
    <n v="0"/>
    <s v="vijay.yadav@russellreynolds.com"/>
    <s v="Keep"/>
  </r>
  <r>
    <s v="Monthly"/>
    <x v="0"/>
    <d v="2025-12-31T00:00:00"/>
    <x v="368"/>
    <x v="1"/>
    <x v="0"/>
    <n v="0"/>
    <m/>
    <m/>
    <n v="0"/>
    <n v="0"/>
    <s v="vijay.yadav@russellreynolds.com"/>
    <s v="Keep"/>
  </r>
  <r>
    <s v="Monthly"/>
    <x v="0"/>
    <d v="2025-12-31T00:00:00"/>
    <x v="156"/>
    <x v="1"/>
    <x v="117"/>
    <n v="0"/>
    <m/>
    <m/>
    <n v="0"/>
    <n v="0"/>
    <s v="vijay.yadav@russellreynolds.com"/>
    <s v="Keep"/>
  </r>
  <r>
    <s v="Monthly"/>
    <x v="0"/>
    <d v="2025-12-31T00:00:00"/>
    <x v="363"/>
    <x v="0"/>
    <x v="0"/>
    <n v="0"/>
    <m/>
    <m/>
    <n v="0"/>
    <n v="0"/>
    <s v="vijay.yadav@russellreynolds.com"/>
    <s v="Keep"/>
  </r>
  <r>
    <s v="Monthly"/>
    <x v="0"/>
    <d v="2025-12-31T00:00:00"/>
    <x v="369"/>
    <x v="0"/>
    <x v="0"/>
    <n v="0"/>
    <m/>
    <m/>
    <n v="0"/>
    <n v="0"/>
    <s v="vijay.yadav@russellreynolds.com"/>
    <s v="Keep"/>
  </r>
  <r>
    <s v="Monthly"/>
    <x v="0"/>
    <d v="2025-12-31T00:00:00"/>
    <x v="2"/>
    <x v="1"/>
    <x v="0"/>
    <n v="0"/>
    <m/>
    <m/>
    <n v="0"/>
    <n v="0"/>
    <s v="vitoria.roque@russellreynolds.com"/>
    <s v="Keep"/>
  </r>
  <r>
    <s v="Monthly"/>
    <x v="0"/>
    <d v="2025-12-31T00:00:00"/>
    <x v="2"/>
    <x v="1"/>
    <x v="0"/>
    <n v="0"/>
    <m/>
    <m/>
    <n v="0"/>
    <n v="0"/>
    <s v="vitoria.roque@russellreynolds.com"/>
    <s v="Keep"/>
  </r>
  <r>
    <s v="Monthly"/>
    <x v="0"/>
    <d v="2025-12-31T00:00:00"/>
    <x v="2"/>
    <x v="1"/>
    <x v="0"/>
    <n v="0"/>
    <m/>
    <m/>
    <n v="0"/>
    <n v="0"/>
    <s v="viveka.wiberg@russellreynolds.com"/>
    <s v="Keep"/>
  </r>
  <r>
    <s v="Monthly"/>
    <x v="0"/>
    <d v="2025-12-31T00:00:00"/>
    <x v="370"/>
    <x v="1"/>
    <x v="284"/>
    <n v="1"/>
    <d v="2025-12-12T00:00:00"/>
    <d v="2025-12-16T00:00:00"/>
    <n v="35"/>
    <n v="1"/>
    <s v="wakako.matsuyama@russellreynolds.com"/>
    <s v="Keep"/>
  </r>
  <r>
    <s v="Monthly"/>
    <x v="0"/>
    <d v="2025-12-31T00:00:00"/>
    <x v="2"/>
    <x v="1"/>
    <x v="0"/>
    <n v="0"/>
    <m/>
    <m/>
    <n v="0"/>
    <n v="0"/>
    <s v="wakako.matsuyama@russellreynolds.com"/>
    <s v="Keep"/>
  </r>
  <r>
    <s v="Monthly"/>
    <x v="0"/>
    <d v="2025-12-31T00:00:00"/>
    <x v="2"/>
    <x v="1"/>
    <x v="0"/>
    <n v="0"/>
    <m/>
    <m/>
    <n v="0"/>
    <n v="0"/>
    <s v="wakako.matsuyama@russellreynolds.com"/>
    <s v="Keep"/>
  </r>
  <r>
    <s v="Monthly"/>
    <x v="0"/>
    <d v="2025-12-31T00:00:00"/>
    <x v="2"/>
    <x v="1"/>
    <x v="0"/>
    <n v="0"/>
    <m/>
    <m/>
    <n v="0"/>
    <n v="0"/>
    <s v="wakako.matsuyama@russellreynolds.com"/>
    <s v="Keep"/>
  </r>
  <r>
    <s v="Monthly"/>
    <x v="0"/>
    <d v="2025-12-31T00:00:00"/>
    <x v="371"/>
    <x v="0"/>
    <x v="0"/>
    <n v="0"/>
    <m/>
    <m/>
    <n v="0"/>
    <n v="0"/>
    <s v="william.clark@russellreynolds.com"/>
    <s v="Keep"/>
  </r>
  <r>
    <s v="Monthly"/>
    <x v="0"/>
    <d v="2025-12-31T00:00:00"/>
    <x v="372"/>
    <x v="0"/>
    <x v="0"/>
    <n v="0"/>
    <m/>
    <m/>
    <n v="0"/>
    <n v="0"/>
    <s v="william.clark@russellreynolds.com"/>
    <s v="Keep"/>
  </r>
  <r>
    <s v="Monthly"/>
    <x v="0"/>
    <d v="2025-12-31T00:00:00"/>
    <x v="2"/>
    <x v="1"/>
    <x v="0"/>
    <n v="0"/>
    <m/>
    <m/>
    <n v="0"/>
    <n v="0"/>
    <s v="william.clark@russellreynolds.com"/>
    <s v="Keep"/>
  </r>
  <r>
    <s v="Monthly"/>
    <x v="0"/>
    <d v="2025-12-31T00:00:00"/>
    <x v="2"/>
    <x v="1"/>
    <x v="0"/>
    <n v="0"/>
    <m/>
    <m/>
    <n v="0"/>
    <n v="0"/>
    <s v="william.clark@russellreynolds.com"/>
    <s v="Keep"/>
  </r>
  <r>
    <s v="Monthly"/>
    <x v="0"/>
    <d v="2025-12-31T00:00:00"/>
    <x v="2"/>
    <x v="1"/>
    <x v="0"/>
    <n v="0"/>
    <m/>
    <m/>
    <n v="0"/>
    <n v="0"/>
    <s v="william.clark@russellreynolds.com"/>
    <s v="Keep"/>
  </r>
  <r>
    <s v="Monthly"/>
    <x v="0"/>
    <d v="2025-12-31T00:00:00"/>
    <x v="373"/>
    <x v="0"/>
    <x v="285"/>
    <n v="1"/>
    <d v="2025-12-01T00:00:00"/>
    <d v="2025-12-02T00:00:00"/>
    <n v="41"/>
    <n v="2"/>
    <s v="william.donahue@russellreynolds.com"/>
    <s v="Keep"/>
  </r>
  <r>
    <s v="Monthly"/>
    <x v="0"/>
    <d v="2025-12-31T00:00:00"/>
    <x v="374"/>
    <x v="0"/>
    <x v="286"/>
    <n v="1"/>
    <d v="2025-12-02T00:00:00"/>
    <d v="2025-12-29T00:00:00"/>
    <n v="49"/>
    <n v="2"/>
    <s v="william.donahue@russellreynolds.com"/>
    <s v="Keep"/>
  </r>
  <r>
    <s v="Monthly"/>
    <x v="0"/>
    <d v="2025-12-31T00:00:00"/>
    <x v="375"/>
    <x v="0"/>
    <x v="287"/>
    <n v="1"/>
    <d v="2025-12-03T00:00:00"/>
    <d v="2025-12-30T00:00:00"/>
    <n v="238"/>
    <n v="1"/>
    <s v="william.donahue@russellreynolds.com"/>
    <s v="Keep"/>
  </r>
  <r>
    <s v="Monthly"/>
    <x v="0"/>
    <d v="2025-12-31T00:00:00"/>
    <x v="2"/>
    <x v="1"/>
    <x v="0"/>
    <n v="0"/>
    <m/>
    <m/>
    <n v="0"/>
    <n v="0"/>
    <s v="william.donahue@russellreynolds.com"/>
    <s v="Keep"/>
  </r>
  <r>
    <s v="Monthly"/>
    <x v="0"/>
    <d v="2025-12-31T00:00:00"/>
    <x v="375"/>
    <x v="1"/>
    <x v="0"/>
    <n v="0"/>
    <m/>
    <m/>
    <n v="0"/>
    <n v="0"/>
    <s v="william.donahue@russellreynolds.com"/>
    <s v="Keep"/>
  </r>
  <r>
    <s v="Monthly"/>
    <x v="0"/>
    <d v="2025-12-31T00:00:00"/>
    <x v="2"/>
    <x v="1"/>
    <x v="0"/>
    <n v="0"/>
    <m/>
    <m/>
    <n v="0"/>
    <n v="0"/>
    <s v="william.donahue@russellreynolds.com"/>
    <s v="Keep"/>
  </r>
  <r>
    <s v="Monthly"/>
    <x v="0"/>
    <d v="2025-12-31T00:00:00"/>
    <x v="2"/>
    <x v="1"/>
    <x v="0"/>
    <n v="0"/>
    <m/>
    <m/>
    <n v="0"/>
    <n v="0"/>
    <s v="william.donahue@russellreynolds.com"/>
    <s v="Keep"/>
  </r>
  <r>
    <s v="Monthly"/>
    <x v="0"/>
    <d v="2025-12-31T00:00:00"/>
    <x v="376"/>
    <x v="0"/>
    <x v="288"/>
    <n v="0"/>
    <m/>
    <m/>
    <n v="0"/>
    <n v="0"/>
    <s v="xander.menger@russellreynolds.com"/>
    <s v="Keep"/>
  </r>
  <r>
    <s v="Monthly"/>
    <x v="0"/>
    <d v="2025-12-31T00:00:00"/>
    <x v="2"/>
    <x v="1"/>
    <x v="0"/>
    <n v="0"/>
    <m/>
    <m/>
    <n v="0"/>
    <n v="0"/>
    <s v="xander.menger@russellreynolds.com"/>
    <s v="Keep"/>
  </r>
  <r>
    <s v="Monthly"/>
    <x v="0"/>
    <d v="2025-12-31T00:00:00"/>
    <x v="377"/>
    <x v="0"/>
    <x v="289"/>
    <n v="0"/>
    <m/>
    <m/>
    <n v="0"/>
    <n v="0"/>
    <s v="yenling.shek@russellreynolds.com"/>
    <s v="Keep"/>
  </r>
  <r>
    <s v="Monthly"/>
    <x v="0"/>
    <d v="2025-12-31T00:00:00"/>
    <x v="2"/>
    <x v="1"/>
    <x v="0"/>
    <n v="0"/>
    <m/>
    <m/>
    <n v="0"/>
    <n v="0"/>
    <s v="yoshimi.iwamura@russellreynolds.com"/>
    <s v="Keep"/>
  </r>
  <r>
    <s v="Monthly"/>
    <x v="0"/>
    <d v="2025-12-31T00:00:00"/>
    <x v="2"/>
    <x v="2"/>
    <x v="0"/>
    <n v="1"/>
    <d v="2025-12-24T00:00:00"/>
    <d v="2025-12-24T00:00:00"/>
    <n v="24"/>
    <n v="3"/>
    <m/>
    <s v="Keep"/>
  </r>
  <r>
    <s v="Monthly"/>
    <x v="0"/>
    <d v="2025-12-31T00:00:00"/>
    <x v="2"/>
    <x v="2"/>
    <x v="0"/>
    <n v="1"/>
    <d v="2025-12-24T00:00:00"/>
    <d v="2025-12-25T00:00:00"/>
    <n v="18"/>
    <n v="2"/>
    <m/>
    <s v="Keep"/>
  </r>
  <r>
    <s v="Monthly"/>
    <x v="0"/>
    <d v="2025-12-31T00:00:00"/>
    <x v="2"/>
    <x v="2"/>
    <x v="0"/>
    <n v="1"/>
    <d v="2025-12-24T00:00:00"/>
    <d v="2025-12-24T00:00:00"/>
    <n v="1"/>
    <n v="1"/>
    <m/>
    <s v="Keep"/>
  </r>
  <r>
    <s v="Monthly"/>
    <x v="0"/>
    <d v="2025-12-31T00:00:00"/>
    <x v="2"/>
    <x v="2"/>
    <x v="0"/>
    <n v="1"/>
    <d v="2025-12-24T00:00:00"/>
    <d v="2025-12-24T00:00:00"/>
    <n v="3"/>
    <n v="1"/>
    <m/>
    <s v="Keep"/>
  </r>
  <r>
    <s v="Monthly"/>
    <x v="0"/>
    <d v="2025-12-31T00:00:00"/>
    <x v="2"/>
    <x v="2"/>
    <x v="0"/>
    <n v="1"/>
    <d v="2025-12-24T00:00:00"/>
    <d v="2025-12-24T00:00:00"/>
    <n v="10"/>
    <n v="1"/>
    <m/>
    <s v="Kee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388900-E6BF-4D32-9512-E25C1F80AB36}"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2:S27" firstHeaderRow="0" firstDataRow="1" firstDataCol="1"/>
  <pivotFields count="13">
    <pivotField showAll="0"/>
    <pivotField axis="axisRow" numFmtId="14" showAll="0">
      <items count="2">
        <item x="0"/>
        <item t="default"/>
      </items>
    </pivotField>
    <pivotField numFmtId="14" showAll="0"/>
    <pivotField axis="axisRow" multipleItemSelectionAllowed="1" showAll="0">
      <items count="379">
        <item h="1" x="206"/>
        <item h="1" x="4"/>
        <item h="1" x="274"/>
        <item h="1" x="259"/>
        <item h="1" x="243"/>
        <item h="1" x="30"/>
        <item h="1" x="31"/>
        <item h="1" x="14"/>
        <item h="1" x="43"/>
        <item h="1" x="193"/>
        <item h="1" x="242"/>
        <item h="1" x="240"/>
        <item h="1" x="291"/>
        <item h="1" x="122"/>
        <item h="1" x="6"/>
        <item h="1" x="296"/>
        <item h="1" x="27"/>
        <item h="1" x="7"/>
        <item h="1" x="181"/>
        <item h="1" x="101"/>
        <item h="1" x="174"/>
        <item h="1" x="241"/>
        <item h="1" x="341"/>
        <item h="1" x="29"/>
        <item h="1" x="41"/>
        <item h="1" x="353"/>
        <item h="1" x="11"/>
        <item h="1" x="272"/>
        <item h="1" x="116"/>
        <item h="1" x="171"/>
        <item h="1" x="172"/>
        <item h="1" x="346"/>
        <item h="1" x="279"/>
        <item h="1" x="292"/>
        <item h="1" x="332"/>
        <item h="1" x="352"/>
        <item h="1" x="270"/>
        <item h="1" x="212"/>
        <item h="1" x="222"/>
        <item h="1" x="182"/>
        <item h="1" x="65"/>
        <item h="1" x="131"/>
        <item h="1" x="70"/>
        <item h="1" x="18"/>
        <item h="1" x="16"/>
        <item h="1" x="120"/>
        <item h="1" x="37"/>
        <item h="1" x="48"/>
        <item h="1" x="46"/>
        <item h="1" x="55"/>
        <item h="1" x="49"/>
        <item h="1" x="267"/>
        <item h="1" x="52"/>
        <item h="1" x="50"/>
        <item h="1" x="166"/>
        <item h="1" x="196"/>
        <item h="1" x="288"/>
        <item h="1" x="22"/>
        <item h="1" x="35"/>
        <item h="1" x="319"/>
        <item h="1" x="81"/>
        <item h="1" x="330"/>
        <item x="47"/>
        <item x="42"/>
        <item x="310"/>
        <item h="1" x="235"/>
        <item h="1" x="130"/>
        <item h="1" x="124"/>
        <item h="1" x="211"/>
        <item h="1" x="214"/>
        <item h="1" x="90"/>
        <item h="1" x="91"/>
        <item h="1" x="92"/>
        <item h="1" x="88"/>
        <item h="1" x="113"/>
        <item h="1" x="39"/>
        <item h="1" x="51"/>
        <item h="1" x="58"/>
        <item h="1" x="97"/>
        <item h="1" x="377"/>
        <item h="1" x="176"/>
        <item h="1" x="210"/>
        <item h="1" x="194"/>
        <item h="1" x="185"/>
        <item h="1" x="119"/>
        <item h="1" x="361"/>
        <item h="1" x="354"/>
        <item h="1" x="228"/>
        <item h="1" x="127"/>
        <item h="1" x="322"/>
        <item h="1" x="358"/>
        <item h="1" x="156"/>
        <item h="1" x="357"/>
        <item h="1" x="151"/>
        <item h="1" x="142"/>
        <item h="1" x="230"/>
        <item h="1" x="175"/>
        <item h="1" x="303"/>
        <item h="1" x="273"/>
        <item h="1" x="227"/>
        <item h="1" x="238"/>
        <item h="1" x="98"/>
        <item h="1" x="12"/>
        <item h="1" x="34"/>
        <item h="1" x="216"/>
        <item h="1" x="86"/>
        <item h="1" x="256"/>
        <item h="1" x="248"/>
        <item h="1" x="250"/>
        <item h="1" x="333"/>
        <item h="1" x="262"/>
        <item h="1" x="69"/>
        <item h="1" x="376"/>
        <item h="1" x="350"/>
        <item h="1" x="297"/>
        <item h="1" x="224"/>
        <item h="1" x="314"/>
        <item h="1" x="363"/>
        <item h="1" x="167"/>
        <item h="1" x="329"/>
        <item h="1" x="168"/>
        <item h="1" x="66"/>
        <item h="1" x="218"/>
        <item h="1" x="282"/>
        <item h="1" x="298"/>
        <item h="1" x="75"/>
        <item h="1" x="232"/>
        <item h="1" x="200"/>
        <item h="1" x="173"/>
        <item h="1" x="160"/>
        <item h="1" x="178"/>
        <item h="1" x="136"/>
        <item h="1" x="373"/>
        <item h="1" x="375"/>
        <item h="1" x="79"/>
        <item h="1" x="237"/>
        <item h="1" x="275"/>
        <item h="1" x="308"/>
        <item h="1" x="309"/>
        <item h="1" x="343"/>
        <item h="1" x="313"/>
        <item h="1" x="225"/>
        <item h="1" x="135"/>
        <item h="1" x="109"/>
        <item h="1" x="374"/>
        <item h="1" x="254"/>
        <item h="1" x="44"/>
        <item h="1" x="344"/>
        <item h="1" x="345"/>
        <item h="1" x="342"/>
        <item h="1" x="306"/>
        <item h="1" x="229"/>
        <item h="1" x="139"/>
        <item h="1" x="140"/>
        <item h="1" x="141"/>
        <item h="1" x="45"/>
        <item h="1" x="125"/>
        <item h="1" x="78"/>
        <item h="1" x="164"/>
        <item h="1" x="186"/>
        <item h="1" x="148"/>
        <item h="1" x="145"/>
        <item h="1" x="155"/>
        <item h="1" x="149"/>
        <item h="1" x="153"/>
        <item h="1" x="146"/>
        <item h="1" x="147"/>
        <item h="1" x="150"/>
        <item h="1" x="144"/>
        <item h="1" x="154"/>
        <item h="1" x="271"/>
        <item h="1" x="1"/>
        <item h="1" x="13"/>
        <item h="1" x="233"/>
        <item h="1" x="15"/>
        <item h="1" x="277"/>
        <item h="1" x="118"/>
        <item h="1" x="287"/>
        <item h="1" x="289"/>
        <item h="1" x="349"/>
        <item h="1" x="362"/>
        <item h="1" x="187"/>
        <item h="1" x="184"/>
        <item h="1" x="284"/>
        <item h="1" x="117"/>
        <item h="1" x="192"/>
        <item h="1" x="107"/>
        <item h="1" x="304"/>
        <item h="1" x="203"/>
        <item h="1" x="134"/>
        <item h="1" x="3"/>
        <item h="1" x="110"/>
        <item h="1" x="132"/>
        <item h="1" x="68"/>
        <item h="1" x="261"/>
        <item h="1" x="161"/>
        <item h="1" x="260"/>
        <item h="1" x="264"/>
        <item h="1" x="226"/>
        <item h="1" x="283"/>
        <item h="1" x="318"/>
        <item h="1" x="263"/>
        <item h="1" x="195"/>
        <item h="1" x="301"/>
        <item h="1" x="71"/>
        <item h="1" x="96"/>
        <item h="1" x="327"/>
        <item h="1" x="80"/>
        <item h="1" x="106"/>
        <item h="1" x="290"/>
        <item h="1" x="305"/>
        <item h="1" x="246"/>
        <item h="1" x="236"/>
        <item h="1" x="20"/>
        <item h="1" x="338"/>
        <item h="1" x="234"/>
        <item h="1" x="108"/>
        <item h="1" x="53"/>
        <item h="1" x="57"/>
        <item h="1" x="269"/>
        <item h="1" x="128"/>
        <item h="1" x="74"/>
        <item h="1" x="280"/>
        <item h="1" x="253"/>
        <item h="1" x="104"/>
        <item h="1" x="213"/>
        <item h="1" x="138"/>
        <item h="1" x="307"/>
        <item h="1" x="126"/>
        <item h="1" x="83"/>
        <item h="1" x="258"/>
        <item h="1" x="335"/>
        <item h="1" x="265"/>
        <item h="1" x="268"/>
        <item h="1" x="115"/>
        <item h="1" x="63"/>
        <item h="1" x="67"/>
        <item h="1" x="32"/>
        <item h="1" x="157"/>
        <item h="1" x="286"/>
        <item h="1" x="251"/>
        <item h="1" x="355"/>
        <item h="1" x="320"/>
        <item h="1" x="321"/>
        <item h="1" x="359"/>
        <item h="1" x="152"/>
        <item h="1" x="356"/>
        <item h="1" x="365"/>
        <item h="1" x="143"/>
        <item h="1" x="129"/>
        <item h="1" x="220"/>
        <item h="1" x="9"/>
        <item h="1" x="177"/>
        <item h="1" x="99"/>
        <item h="1" x="204"/>
        <item h="1" x="17"/>
        <item h="1" x="123"/>
        <item h="1" x="249"/>
        <item h="1" x="198"/>
        <item h="1" x="276"/>
        <item h="1" x="137"/>
        <item h="1" x="252"/>
        <item h="1" x="209"/>
        <item h="1" x="208"/>
        <item h="1" x="158"/>
        <item h="1" x="77"/>
        <item h="1" x="367"/>
        <item h="1" x="364"/>
        <item h="1" x="93"/>
        <item h="1" x="24"/>
        <item h="1" x="351"/>
        <item h="1" x="180"/>
        <item h="1" x="38"/>
        <item h="1" x="40"/>
        <item h="1" x="59"/>
        <item h="1" x="76"/>
        <item h="1" x="26"/>
        <item h="1" x="133"/>
        <item h="1" x="300"/>
        <item h="1" x="299"/>
        <item h="1" x="112"/>
        <item h="1" x="89"/>
        <item h="1" x="33"/>
        <item h="1" x="21"/>
        <item h="1" x="179"/>
        <item h="1" x="339"/>
        <item h="1" x="223"/>
        <item h="1" x="340"/>
        <item h="1" x="326"/>
        <item h="1" x="36"/>
        <item h="1" x="215"/>
        <item h="1" x="28"/>
        <item h="1" x="247"/>
        <item h="1" x="239"/>
        <item h="1" x="360"/>
        <item h="1" x="95"/>
        <item h="1" x="0"/>
        <item h="1" x="325"/>
        <item h="1" x="324"/>
        <item h="1" x="245"/>
        <item h="1" x="285"/>
        <item h="1" x="94"/>
        <item h="1" x="114"/>
        <item h="1" x="370"/>
        <item h="1" x="257"/>
        <item h="1" x="317"/>
        <item h="1" x="294"/>
        <item h="1" x="163"/>
        <item h="1" x="85"/>
        <item h="1" x="84"/>
        <item h="1" x="62"/>
        <item h="1" x="60"/>
        <item h="1" x="73"/>
        <item h="1" x="82"/>
        <item h="1" x="5"/>
        <item h="1" x="255"/>
        <item h="1" x="302"/>
        <item h="1" x="315"/>
        <item h="1" x="312"/>
        <item h="1" x="311"/>
        <item h="1" x="316"/>
        <item h="1" x="323"/>
        <item h="1" x="295"/>
        <item h="1" x="19"/>
        <item h="1" x="197"/>
        <item h="1" x="191"/>
        <item h="1" x="162"/>
        <item h="1" x="10"/>
        <item h="1" x="23"/>
        <item h="1" x="111"/>
        <item h="1" x="219"/>
        <item h="1" x="189"/>
        <item h="1" x="190"/>
        <item h="1" x="199"/>
        <item h="1" x="205"/>
        <item h="1" x="328"/>
        <item h="1" x="165"/>
        <item h="1" x="102"/>
        <item h="1" x="87"/>
        <item h="1" x="8"/>
        <item h="1" x="293"/>
        <item h="1" x="103"/>
        <item h="1" x="100"/>
        <item h="1" x="170"/>
        <item h="1" x="231"/>
        <item h="1" x="331"/>
        <item h="1" x="336"/>
        <item h="1" x="337"/>
        <item h="1" x="281"/>
        <item h="1" x="202"/>
        <item h="1" x="25"/>
        <item h="1" x="105"/>
        <item h="1" x="201"/>
        <item h="1" x="61"/>
        <item h="1" x="54"/>
        <item h="1" x="64"/>
        <item h="1" x="217"/>
        <item h="1" x="334"/>
        <item h="1" x="348"/>
        <item h="1" x="347"/>
        <item h="1" x="56"/>
        <item h="1" x="372"/>
        <item h="1" x="371"/>
        <item h="1" x="159"/>
        <item h="1" x="221"/>
        <item h="1" x="366"/>
        <item h="1" x="369"/>
        <item h="1" x="368"/>
        <item h="1" x="266"/>
        <item h="1" x="169"/>
        <item h="1" x="207"/>
        <item h="1" x="72"/>
        <item h="1" x="244"/>
        <item h="1" x="188"/>
        <item h="1" x="278"/>
        <item h="1" x="121"/>
        <item h="1" x="183"/>
        <item h="1" x="2"/>
        <item t="default"/>
      </items>
    </pivotField>
    <pivotField showAll="0"/>
    <pivotField showAll="0"/>
    <pivotField showAll="0"/>
    <pivotField showAll="0"/>
    <pivotField showAll="0"/>
    <pivotField dataField="1" showAll="0"/>
    <pivotField dataField="1" showAll="0"/>
    <pivotField showAll="0"/>
    <pivotField showAll="0"/>
  </pivotFields>
  <rowFields count="2">
    <field x="1"/>
    <field x="3"/>
  </rowFields>
  <rowItems count="5">
    <i>
      <x/>
    </i>
    <i r="1">
      <x v="62"/>
    </i>
    <i r="1">
      <x v="63"/>
    </i>
    <i r="1">
      <x v="64"/>
    </i>
    <i t="grand">
      <x/>
    </i>
  </rowItems>
  <colFields count="1">
    <field x="-2"/>
  </colFields>
  <colItems count="2">
    <i>
      <x/>
    </i>
    <i i="1">
      <x v="1"/>
    </i>
  </colItems>
  <dataFields count="2">
    <dataField name="Sum of messages_workspace" fld="9" baseField="0" baseItem="0"/>
    <dataField name="Sum of unique_messagers_workspa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C974BA-B00D-47DA-B612-BB71C257D95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O32" firstHeaderRow="0" firstDataRow="1" firstDataCol="1"/>
  <pivotFields count="13">
    <pivotField showAll="0"/>
    <pivotField axis="axisRow" numFmtId="14" showAll="0">
      <items count="2">
        <item x="0"/>
        <item t="default"/>
      </items>
    </pivotField>
    <pivotField numFmtId="14" showAll="0"/>
    <pivotField axis="axisRow" multipleItemSelectionAllowed="1" showAll="0">
      <items count="379">
        <item h="1" x="206"/>
        <item h="1" x="4"/>
        <item h="1" x="274"/>
        <item h="1" x="259"/>
        <item h="1" x="243"/>
        <item h="1" x="30"/>
        <item h="1" x="31"/>
        <item h="1" x="14"/>
        <item h="1" x="43"/>
        <item h="1" x="193"/>
        <item h="1" x="242"/>
        <item h="1" x="240"/>
        <item h="1" x="291"/>
        <item h="1" x="122"/>
        <item h="1" x="6"/>
        <item h="1" x="296"/>
        <item h="1" x="27"/>
        <item h="1" x="7"/>
        <item h="1" x="181"/>
        <item h="1" x="101"/>
        <item h="1" x="174"/>
        <item h="1" x="241"/>
        <item h="1" x="341"/>
        <item h="1" x="29"/>
        <item h="1" x="41"/>
        <item h="1" x="353"/>
        <item h="1" x="11"/>
        <item h="1" x="272"/>
        <item h="1" x="116"/>
        <item h="1" x="171"/>
        <item h="1" x="172"/>
        <item h="1" x="346"/>
        <item h="1" x="279"/>
        <item h="1" x="292"/>
        <item h="1" x="332"/>
        <item h="1" x="352"/>
        <item h="1" x="270"/>
        <item h="1" x="212"/>
        <item h="1" x="222"/>
        <item h="1" x="182"/>
        <item h="1" x="65"/>
        <item h="1" x="131"/>
        <item h="1" x="70"/>
        <item h="1" x="18"/>
        <item h="1" x="16"/>
        <item x="120"/>
        <item x="37"/>
        <item x="48"/>
        <item x="46"/>
        <item x="55"/>
        <item x="49"/>
        <item x="267"/>
        <item x="52"/>
        <item x="50"/>
        <item x="166"/>
        <item x="196"/>
        <item h="1" x="288"/>
        <item h="1" x="22"/>
        <item h="1" x="35"/>
        <item h="1" x="319"/>
        <item h="1" x="81"/>
        <item h="1" x="330"/>
        <item h="1" x="47"/>
        <item h="1" x="42"/>
        <item h="1" x="310"/>
        <item h="1" x="235"/>
        <item h="1" x="130"/>
        <item h="1" x="124"/>
        <item h="1" x="211"/>
        <item h="1" x="214"/>
        <item h="1" x="90"/>
        <item h="1" x="91"/>
        <item h="1" x="92"/>
        <item h="1" x="88"/>
        <item h="1" x="113"/>
        <item h="1" x="39"/>
        <item h="1" x="51"/>
        <item h="1" x="58"/>
        <item h="1" x="97"/>
        <item h="1" x="377"/>
        <item h="1" x="176"/>
        <item h="1" x="210"/>
        <item h="1" x="194"/>
        <item h="1" x="185"/>
        <item h="1" x="119"/>
        <item h="1" x="361"/>
        <item h="1" x="354"/>
        <item h="1" x="228"/>
        <item h="1" x="127"/>
        <item h="1" x="322"/>
        <item h="1" x="358"/>
        <item h="1" x="156"/>
        <item h="1" x="357"/>
        <item h="1" x="151"/>
        <item h="1" x="142"/>
        <item h="1" x="230"/>
        <item h="1" x="175"/>
        <item h="1" x="303"/>
        <item h="1" x="273"/>
        <item h="1" x="227"/>
        <item h="1" x="238"/>
        <item h="1" x="98"/>
        <item h="1" x="12"/>
        <item h="1" x="34"/>
        <item h="1" x="216"/>
        <item h="1" x="86"/>
        <item h="1" x="256"/>
        <item h="1" x="248"/>
        <item h="1" x="250"/>
        <item h="1" x="333"/>
        <item h="1" x="262"/>
        <item h="1" x="69"/>
        <item h="1" x="376"/>
        <item h="1" x="350"/>
        <item h="1" x="297"/>
        <item h="1" x="224"/>
        <item h="1" x="314"/>
        <item h="1" x="363"/>
        <item h="1" x="167"/>
        <item h="1" x="329"/>
        <item h="1" x="168"/>
        <item h="1" x="66"/>
        <item h="1" x="218"/>
        <item h="1" x="282"/>
        <item h="1" x="298"/>
        <item h="1" x="75"/>
        <item h="1" x="232"/>
        <item h="1" x="200"/>
        <item h="1" x="173"/>
        <item h="1" x="160"/>
        <item h="1" x="178"/>
        <item h="1" x="136"/>
        <item h="1" x="373"/>
        <item h="1" x="375"/>
        <item h="1" x="79"/>
        <item h="1" x="237"/>
        <item h="1" x="275"/>
        <item h="1" x="308"/>
        <item h="1" x="309"/>
        <item h="1" x="343"/>
        <item h="1" x="313"/>
        <item h="1" x="225"/>
        <item h="1" x="135"/>
        <item h="1" x="109"/>
        <item h="1" x="374"/>
        <item h="1" x="254"/>
        <item h="1" x="44"/>
        <item h="1" x="344"/>
        <item h="1" x="345"/>
        <item h="1" x="342"/>
        <item h="1" x="306"/>
        <item h="1" x="229"/>
        <item h="1" x="139"/>
        <item h="1" x="140"/>
        <item h="1" x="141"/>
        <item h="1" x="45"/>
        <item h="1" x="125"/>
        <item h="1" x="78"/>
        <item h="1" x="164"/>
        <item h="1" x="186"/>
        <item h="1" x="148"/>
        <item h="1" x="145"/>
        <item h="1" x="155"/>
        <item h="1" x="149"/>
        <item h="1" x="153"/>
        <item h="1" x="146"/>
        <item h="1" x="147"/>
        <item h="1" x="150"/>
        <item h="1" x="144"/>
        <item h="1" x="154"/>
        <item h="1" x="271"/>
        <item h="1" x="1"/>
        <item h="1" x="13"/>
        <item h="1" x="233"/>
        <item h="1" x="15"/>
        <item h="1" x="277"/>
        <item h="1" x="118"/>
        <item h="1" x="287"/>
        <item h="1" x="289"/>
        <item h="1" x="349"/>
        <item h="1" x="362"/>
        <item h="1" x="187"/>
        <item h="1" x="184"/>
        <item h="1" x="284"/>
        <item h="1" x="117"/>
        <item h="1" x="192"/>
        <item h="1" x="107"/>
        <item h="1" x="304"/>
        <item h="1" x="203"/>
        <item h="1" x="134"/>
        <item h="1" x="3"/>
        <item h="1" x="110"/>
        <item h="1" x="132"/>
        <item h="1" x="68"/>
        <item h="1" x="261"/>
        <item h="1" x="161"/>
        <item h="1" x="260"/>
        <item h="1" x="264"/>
        <item h="1" x="226"/>
        <item h="1" x="283"/>
        <item h="1" x="318"/>
        <item h="1" x="263"/>
        <item h="1" x="195"/>
        <item h="1" x="301"/>
        <item h="1" x="71"/>
        <item h="1" x="96"/>
        <item h="1" x="327"/>
        <item h="1" x="80"/>
        <item h="1" x="106"/>
        <item h="1" x="290"/>
        <item h="1" x="305"/>
        <item h="1" x="246"/>
        <item h="1" x="236"/>
        <item h="1" x="20"/>
        <item h="1" x="338"/>
        <item h="1" x="234"/>
        <item h="1" x="108"/>
        <item h="1" x="53"/>
        <item h="1" x="57"/>
        <item h="1" x="269"/>
        <item h="1" x="128"/>
        <item h="1" x="74"/>
        <item h="1" x="280"/>
        <item h="1" x="253"/>
        <item h="1" x="104"/>
        <item h="1" x="213"/>
        <item h="1" x="138"/>
        <item h="1" x="307"/>
        <item h="1" x="126"/>
        <item h="1" x="83"/>
        <item h="1" x="258"/>
        <item h="1" x="335"/>
        <item h="1" x="265"/>
        <item h="1" x="268"/>
        <item h="1" x="115"/>
        <item h="1" x="63"/>
        <item h="1" x="67"/>
        <item h="1" x="32"/>
        <item h="1" x="157"/>
        <item h="1" x="286"/>
        <item h="1" x="251"/>
        <item h="1" x="355"/>
        <item h="1" x="320"/>
        <item h="1" x="321"/>
        <item h="1" x="359"/>
        <item h="1" x="152"/>
        <item h="1" x="356"/>
        <item h="1" x="365"/>
        <item h="1" x="143"/>
        <item h="1" x="129"/>
        <item h="1" x="220"/>
        <item h="1" x="9"/>
        <item h="1" x="177"/>
        <item h="1" x="99"/>
        <item h="1" x="204"/>
        <item h="1" x="17"/>
        <item h="1" x="123"/>
        <item h="1" x="249"/>
        <item h="1" x="198"/>
        <item h="1" x="276"/>
        <item h="1" x="137"/>
        <item h="1" x="252"/>
        <item h="1" x="209"/>
        <item h="1" x="208"/>
        <item h="1" x="158"/>
        <item h="1" x="77"/>
        <item h="1" x="367"/>
        <item h="1" x="364"/>
        <item h="1" x="93"/>
        <item h="1" x="24"/>
        <item h="1" x="351"/>
        <item h="1" x="180"/>
        <item h="1" x="38"/>
        <item h="1" x="40"/>
        <item h="1" x="59"/>
        <item h="1" x="76"/>
        <item h="1" x="26"/>
        <item h="1" x="133"/>
        <item h="1" x="300"/>
        <item h="1" x="299"/>
        <item h="1" x="112"/>
        <item h="1" x="89"/>
        <item h="1" x="33"/>
        <item h="1" x="21"/>
        <item h="1" x="179"/>
        <item h="1" x="339"/>
        <item h="1" x="223"/>
        <item h="1" x="340"/>
        <item h="1" x="326"/>
        <item h="1" x="36"/>
        <item h="1" x="215"/>
        <item h="1" x="28"/>
        <item h="1" x="247"/>
        <item h="1" x="239"/>
        <item h="1" x="360"/>
        <item h="1" x="95"/>
        <item h="1" x="0"/>
        <item h="1" x="325"/>
        <item h="1" x="324"/>
        <item h="1" x="245"/>
        <item h="1" x="285"/>
        <item h="1" x="94"/>
        <item h="1" x="114"/>
        <item h="1" x="370"/>
        <item h="1" x="257"/>
        <item h="1" x="317"/>
        <item h="1" x="294"/>
        <item h="1" x="163"/>
        <item h="1" x="85"/>
        <item h="1" x="84"/>
        <item h="1" x="62"/>
        <item h="1" x="60"/>
        <item h="1" x="73"/>
        <item h="1" x="82"/>
        <item h="1" x="5"/>
        <item h="1" x="255"/>
        <item h="1" x="302"/>
        <item h="1" x="315"/>
        <item h="1" x="312"/>
        <item h="1" x="311"/>
        <item h="1" x="316"/>
        <item h="1" x="323"/>
        <item h="1" x="295"/>
        <item h="1" x="19"/>
        <item h="1" x="197"/>
        <item h="1" x="191"/>
        <item h="1" x="162"/>
        <item h="1" x="10"/>
        <item h="1" x="23"/>
        <item h="1" x="111"/>
        <item h="1" x="219"/>
        <item h="1" x="189"/>
        <item h="1" x="190"/>
        <item h="1" x="199"/>
        <item h="1" x="205"/>
        <item h="1" x="328"/>
        <item h="1" x="165"/>
        <item h="1" x="102"/>
        <item h="1" x="87"/>
        <item h="1" x="8"/>
        <item h="1" x="293"/>
        <item h="1" x="103"/>
        <item h="1" x="100"/>
        <item h="1" x="170"/>
        <item h="1" x="231"/>
        <item h="1" x="331"/>
        <item h="1" x="336"/>
        <item h="1" x="337"/>
        <item h="1" x="281"/>
        <item h="1" x="202"/>
        <item h="1" x="25"/>
        <item h="1" x="105"/>
        <item h="1" x="201"/>
        <item h="1" x="61"/>
        <item h="1" x="54"/>
        <item h="1" x="64"/>
        <item h="1" x="217"/>
        <item h="1" x="334"/>
        <item h="1" x="348"/>
        <item h="1" x="347"/>
        <item h="1" x="56"/>
        <item h="1" x="372"/>
        <item h="1" x="371"/>
        <item h="1" x="159"/>
        <item h="1" x="221"/>
        <item h="1" x="366"/>
        <item h="1" x="369"/>
        <item h="1" x="368"/>
        <item h="1" x="266"/>
        <item h="1" x="169"/>
        <item h="1" x="207"/>
        <item h="1" x="72"/>
        <item h="1" x="244"/>
        <item h="1" x="188"/>
        <item h="1" x="278"/>
        <item h="1" x="121"/>
        <item h="1" x="183"/>
        <item h="1" x="2"/>
        <item t="default"/>
      </items>
    </pivotField>
    <pivotField showAll="0"/>
    <pivotField showAll="0"/>
    <pivotField showAll="0"/>
    <pivotField showAll="0"/>
    <pivotField showAll="0"/>
    <pivotField dataField="1" showAll="0"/>
    <pivotField dataField="1" showAll="0"/>
    <pivotField showAll="0"/>
    <pivotField showAll="0"/>
  </pivotFields>
  <rowFields count="2">
    <field x="1"/>
    <field x="3"/>
  </rowFields>
  <rowItems count="13">
    <i>
      <x/>
    </i>
    <i r="1">
      <x v="45"/>
    </i>
    <i r="1">
      <x v="46"/>
    </i>
    <i r="1">
      <x v="47"/>
    </i>
    <i r="1">
      <x v="48"/>
    </i>
    <i r="1">
      <x v="49"/>
    </i>
    <i r="1">
      <x v="50"/>
    </i>
    <i r="1">
      <x v="51"/>
    </i>
    <i r="1">
      <x v="52"/>
    </i>
    <i r="1">
      <x v="53"/>
    </i>
    <i r="1">
      <x v="54"/>
    </i>
    <i r="1">
      <x v="55"/>
    </i>
    <i t="grand">
      <x/>
    </i>
  </rowItems>
  <colFields count="1">
    <field x="-2"/>
  </colFields>
  <colItems count="2">
    <i>
      <x/>
    </i>
    <i i="1">
      <x v="1"/>
    </i>
  </colItems>
  <dataFields count="2">
    <dataField name="Sum of messages_workspace" fld="9" baseField="0" baseItem="0"/>
    <dataField name="Sum of unique_messagers_workspa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B2257-6B1C-41C1-BC01-181F2A5A25F4}"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C225" firstHeaderRow="0" firstDataRow="1" firstDataCol="1" rowPageCount="1" colPageCount="1"/>
  <pivotFields count="13">
    <pivotField showAll="0"/>
    <pivotField numFmtId="14" showAll="0"/>
    <pivotField numFmtId="14" showAll="0"/>
    <pivotField dataField="1" showAll="0"/>
    <pivotField axis="axisPage" showAll="0">
      <items count="4">
        <item x="1"/>
        <item x="0"/>
        <item x="2"/>
        <item t="default"/>
      </items>
    </pivotField>
    <pivotField axis="axisRow" showAll="0">
      <items count="291">
        <item x="7"/>
        <item x="50"/>
        <item x="72"/>
        <item x="60"/>
        <item x="10"/>
        <item x="256"/>
        <item x="1"/>
        <item x="79"/>
        <item x="169"/>
        <item x="243"/>
        <item x="260"/>
        <item x="51"/>
        <item x="255"/>
        <item x="83"/>
        <item x="120"/>
        <item x="258"/>
        <item x="41"/>
        <item x="135"/>
        <item x="185"/>
        <item x="186"/>
        <item x="189"/>
        <item x="239"/>
        <item x="206"/>
        <item x="170"/>
        <item x="3"/>
        <item x="107"/>
        <item x="216"/>
        <item x="233"/>
        <item x="274"/>
        <item x="224"/>
        <item x="62"/>
        <item x="270"/>
        <item x="249"/>
        <item x="19"/>
        <item x="235"/>
        <item x="196"/>
        <item x="284"/>
        <item x="177"/>
        <item x="113"/>
        <item x="57"/>
        <item x="251"/>
        <item x="175"/>
        <item x="139"/>
        <item x="105"/>
        <item x="67"/>
        <item x="192"/>
        <item x="114"/>
        <item x="265"/>
        <item x="28"/>
        <item x="225"/>
        <item x="197"/>
        <item x="122"/>
        <item x="91"/>
        <item x="273"/>
        <item x="200"/>
        <item x="138"/>
        <item x="21"/>
        <item x="132"/>
        <item x="16"/>
        <item x="119"/>
        <item x="205"/>
        <item x="163"/>
        <item x="8"/>
        <item x="6"/>
        <item x="5"/>
        <item x="4"/>
        <item x="11"/>
        <item x="42"/>
        <item x="159"/>
        <item x="279"/>
        <item x="155"/>
        <item x="278"/>
        <item x="234"/>
        <item x="184"/>
        <item x="15"/>
        <item x="94"/>
        <item x="14"/>
        <item x="73"/>
        <item x="228"/>
        <item x="202"/>
        <item x="211"/>
        <item x="22"/>
        <item x="12"/>
        <item x="193"/>
        <item x="66"/>
        <item x="150"/>
        <item x="56"/>
        <item x="209"/>
        <item x="75"/>
        <item x="111"/>
        <item x="92"/>
        <item x="154"/>
        <item x="128"/>
        <item x="61"/>
        <item x="157"/>
        <item x="164"/>
        <item x="145"/>
        <item x="17"/>
        <item x="106"/>
        <item x="140"/>
        <item x="263"/>
        <item x="144"/>
        <item x="188"/>
        <item x="215"/>
        <item x="146"/>
        <item x="264"/>
        <item x="160"/>
        <item x="214"/>
        <item x="13"/>
        <item x="151"/>
        <item x="212"/>
        <item x="24"/>
        <item x="115"/>
        <item x="102"/>
        <item x="125"/>
        <item x="187"/>
        <item x="262"/>
        <item x="109"/>
        <item x="261"/>
        <item x="259"/>
        <item x="167"/>
        <item x="168"/>
        <item x="87"/>
        <item x="207"/>
        <item x="29"/>
        <item x="218"/>
        <item x="220"/>
        <item x="266"/>
        <item x="210"/>
        <item x="282"/>
        <item x="95"/>
        <item x="121"/>
        <item x="58"/>
        <item x="129"/>
        <item x="250"/>
        <item x="33"/>
        <item x="38"/>
        <item x="46"/>
        <item x="45"/>
        <item x="43"/>
        <item x="82"/>
        <item x="112"/>
        <item x="93"/>
        <item x="35"/>
        <item x="89"/>
        <item x="90"/>
        <item x="34"/>
        <item x="37"/>
        <item x="247"/>
        <item x="40"/>
        <item x="39"/>
        <item x="252"/>
        <item x="104"/>
        <item x="267"/>
        <item x="123"/>
        <item x="281"/>
        <item x="195"/>
        <item x="182"/>
        <item x="152"/>
        <item x="229"/>
        <item x="71"/>
        <item x="253"/>
        <item x="31"/>
        <item x="78"/>
        <item x="199"/>
        <item x="25"/>
        <item x="204"/>
        <item x="288"/>
        <item x="269"/>
        <item x="142"/>
        <item x="134"/>
        <item x="84"/>
        <item x="240"/>
        <item x="171"/>
        <item x="32"/>
        <item x="2"/>
        <item x="77"/>
        <item x="76"/>
        <item x="248"/>
        <item x="165"/>
        <item x="131"/>
        <item x="100"/>
        <item x="88"/>
        <item x="108"/>
        <item x="103"/>
        <item x="74"/>
        <item x="9"/>
        <item x="55"/>
        <item x="126"/>
        <item x="26"/>
        <item x="30"/>
        <item x="96"/>
        <item x="81"/>
        <item x="27"/>
        <item x="99"/>
        <item x="223"/>
        <item x="162"/>
        <item x="161"/>
        <item x="36"/>
        <item x="116"/>
        <item x="130"/>
        <item x="201"/>
        <item x="226"/>
        <item x="227"/>
        <item x="271"/>
        <item x="48"/>
        <item x="238"/>
        <item x="280"/>
        <item x="213"/>
        <item x="49"/>
        <item x="277"/>
        <item x="230"/>
        <item x="54"/>
        <item x="236"/>
        <item x="141"/>
        <item x="148"/>
        <item x="254"/>
        <item x="237"/>
        <item x="158"/>
        <item x="257"/>
        <item x="241"/>
        <item x="174"/>
        <item x="232"/>
        <item x="203"/>
        <item x="65"/>
        <item x="219"/>
        <item x="23"/>
        <item x="47"/>
        <item x="44"/>
        <item x="198"/>
        <item x="275"/>
        <item x="133"/>
        <item x="69"/>
        <item x="242"/>
        <item x="118"/>
        <item x="117"/>
        <item x="283"/>
        <item x="268"/>
        <item x="68"/>
        <item x="101"/>
        <item x="183"/>
        <item x="190"/>
        <item x="70"/>
        <item x="208"/>
        <item x="110"/>
        <item x="276"/>
        <item x="231"/>
        <item x="80"/>
        <item x="272"/>
        <item x="149"/>
        <item x="53"/>
        <item x="246"/>
        <item x="172"/>
        <item x="222"/>
        <item x="136"/>
        <item x="221"/>
        <item x="59"/>
        <item x="285"/>
        <item x="287"/>
        <item x="286"/>
        <item x="147"/>
        <item x="217"/>
        <item x="64"/>
        <item x="289"/>
        <item x="137"/>
        <item x="127"/>
        <item x="20"/>
        <item x="178"/>
        <item x="194"/>
        <item x="143"/>
        <item x="52"/>
        <item x="191"/>
        <item x="86"/>
        <item x="85"/>
        <item x="173"/>
        <item x="166"/>
        <item x="97"/>
        <item x="98"/>
        <item x="124"/>
        <item x="18"/>
        <item x="156"/>
        <item x="245"/>
        <item x="179"/>
        <item x="153"/>
        <item x="180"/>
        <item x="181"/>
        <item x="63"/>
        <item x="176"/>
        <item x="244"/>
        <item x="0"/>
        <item t="default"/>
      </items>
    </pivotField>
    <pivotField showAll="0"/>
    <pivotField showAll="0"/>
    <pivotField showAll="0"/>
    <pivotField dataField="1" showAll="0"/>
    <pivotField showAll="0"/>
    <pivotField showAll="0"/>
    <pivotField showAll="0"/>
  </pivotFields>
  <rowFields count="1">
    <field x="5"/>
  </rowFields>
  <rowItems count="197">
    <i>
      <x v="1"/>
    </i>
    <i>
      <x v="3"/>
    </i>
    <i>
      <x v="5"/>
    </i>
    <i>
      <x v="6"/>
    </i>
    <i>
      <x v="8"/>
    </i>
    <i>
      <x v="9"/>
    </i>
    <i>
      <x v="12"/>
    </i>
    <i>
      <x v="13"/>
    </i>
    <i>
      <x v="14"/>
    </i>
    <i>
      <x v="16"/>
    </i>
    <i>
      <x v="17"/>
    </i>
    <i>
      <x v="18"/>
    </i>
    <i>
      <x v="19"/>
    </i>
    <i>
      <x v="21"/>
    </i>
    <i>
      <x v="23"/>
    </i>
    <i>
      <x v="26"/>
    </i>
    <i>
      <x v="27"/>
    </i>
    <i>
      <x v="29"/>
    </i>
    <i>
      <x v="30"/>
    </i>
    <i>
      <x v="31"/>
    </i>
    <i>
      <x v="32"/>
    </i>
    <i>
      <x v="34"/>
    </i>
    <i>
      <x v="38"/>
    </i>
    <i>
      <x v="39"/>
    </i>
    <i>
      <x v="40"/>
    </i>
    <i>
      <x v="42"/>
    </i>
    <i>
      <x v="44"/>
    </i>
    <i>
      <x v="45"/>
    </i>
    <i>
      <x v="46"/>
    </i>
    <i>
      <x v="50"/>
    </i>
    <i>
      <x v="51"/>
    </i>
    <i>
      <x v="53"/>
    </i>
    <i>
      <x v="54"/>
    </i>
    <i>
      <x v="55"/>
    </i>
    <i>
      <x v="57"/>
    </i>
    <i>
      <x v="58"/>
    </i>
    <i>
      <x v="61"/>
    </i>
    <i>
      <x v="62"/>
    </i>
    <i>
      <x v="63"/>
    </i>
    <i>
      <x v="64"/>
    </i>
    <i>
      <x v="65"/>
    </i>
    <i>
      <x v="67"/>
    </i>
    <i>
      <x v="68"/>
    </i>
    <i>
      <x v="69"/>
    </i>
    <i>
      <x v="70"/>
    </i>
    <i>
      <x v="71"/>
    </i>
    <i>
      <x v="72"/>
    </i>
    <i>
      <x v="73"/>
    </i>
    <i>
      <x v="74"/>
    </i>
    <i>
      <x v="75"/>
    </i>
    <i>
      <x v="76"/>
    </i>
    <i>
      <x v="77"/>
    </i>
    <i>
      <x v="78"/>
    </i>
    <i>
      <x v="82"/>
    </i>
    <i>
      <x v="83"/>
    </i>
    <i>
      <x v="84"/>
    </i>
    <i>
      <x v="85"/>
    </i>
    <i>
      <x v="86"/>
    </i>
    <i>
      <x v="87"/>
    </i>
    <i>
      <x v="88"/>
    </i>
    <i>
      <x v="94"/>
    </i>
    <i>
      <x v="95"/>
    </i>
    <i>
      <x v="96"/>
    </i>
    <i>
      <x v="97"/>
    </i>
    <i>
      <x v="99"/>
    </i>
    <i>
      <x v="101"/>
    </i>
    <i>
      <x v="102"/>
    </i>
    <i>
      <x v="103"/>
    </i>
    <i>
      <x v="106"/>
    </i>
    <i>
      <x v="108"/>
    </i>
    <i>
      <x v="109"/>
    </i>
    <i>
      <x v="110"/>
    </i>
    <i>
      <x v="111"/>
    </i>
    <i>
      <x v="112"/>
    </i>
    <i>
      <x v="114"/>
    </i>
    <i>
      <x v="115"/>
    </i>
    <i>
      <x v="119"/>
    </i>
    <i>
      <x v="120"/>
    </i>
    <i>
      <x v="121"/>
    </i>
    <i>
      <x v="122"/>
    </i>
    <i>
      <x v="123"/>
    </i>
    <i>
      <x v="125"/>
    </i>
    <i>
      <x v="127"/>
    </i>
    <i>
      <x v="128"/>
    </i>
    <i>
      <x v="129"/>
    </i>
    <i>
      <x v="130"/>
    </i>
    <i>
      <x v="131"/>
    </i>
    <i>
      <x v="132"/>
    </i>
    <i>
      <x v="133"/>
    </i>
    <i>
      <x v="135"/>
    </i>
    <i>
      <x v="136"/>
    </i>
    <i>
      <x v="137"/>
    </i>
    <i>
      <x v="138"/>
    </i>
    <i>
      <x v="139"/>
    </i>
    <i>
      <x v="140"/>
    </i>
    <i>
      <x v="141"/>
    </i>
    <i>
      <x v="142"/>
    </i>
    <i>
      <x v="144"/>
    </i>
    <i>
      <x v="145"/>
    </i>
    <i>
      <x v="146"/>
    </i>
    <i>
      <x v="147"/>
    </i>
    <i>
      <x v="148"/>
    </i>
    <i>
      <x v="150"/>
    </i>
    <i>
      <x v="151"/>
    </i>
    <i>
      <x v="153"/>
    </i>
    <i>
      <x v="154"/>
    </i>
    <i>
      <x v="155"/>
    </i>
    <i>
      <x v="157"/>
    </i>
    <i>
      <x v="158"/>
    </i>
    <i>
      <x v="163"/>
    </i>
    <i>
      <x v="164"/>
    </i>
    <i>
      <x v="165"/>
    </i>
    <i>
      <x v="166"/>
    </i>
    <i>
      <x v="167"/>
    </i>
    <i>
      <x v="168"/>
    </i>
    <i>
      <x v="169"/>
    </i>
    <i>
      <x v="170"/>
    </i>
    <i>
      <x v="171"/>
    </i>
    <i>
      <x v="172"/>
    </i>
    <i>
      <x v="174"/>
    </i>
    <i>
      <x v="177"/>
    </i>
    <i>
      <x v="178"/>
    </i>
    <i>
      <x v="179"/>
    </i>
    <i>
      <x v="180"/>
    </i>
    <i>
      <x v="181"/>
    </i>
    <i>
      <x v="185"/>
    </i>
    <i>
      <x v="186"/>
    </i>
    <i>
      <x v="188"/>
    </i>
    <i>
      <x v="189"/>
    </i>
    <i>
      <x v="194"/>
    </i>
    <i>
      <x v="197"/>
    </i>
    <i>
      <x v="198"/>
    </i>
    <i>
      <x v="199"/>
    </i>
    <i>
      <x v="204"/>
    </i>
    <i>
      <x v="206"/>
    </i>
    <i>
      <x v="207"/>
    </i>
    <i>
      <x v="209"/>
    </i>
    <i>
      <x v="210"/>
    </i>
    <i>
      <x v="212"/>
    </i>
    <i>
      <x v="213"/>
    </i>
    <i>
      <x v="214"/>
    </i>
    <i>
      <x v="216"/>
    </i>
    <i>
      <x v="217"/>
    </i>
    <i>
      <x v="218"/>
    </i>
    <i>
      <x v="220"/>
    </i>
    <i>
      <x v="222"/>
    </i>
    <i>
      <x v="223"/>
    </i>
    <i>
      <x v="224"/>
    </i>
    <i>
      <x v="225"/>
    </i>
    <i>
      <x v="226"/>
    </i>
    <i>
      <x v="228"/>
    </i>
    <i>
      <x v="230"/>
    </i>
    <i>
      <x v="231"/>
    </i>
    <i>
      <x v="232"/>
    </i>
    <i>
      <x v="233"/>
    </i>
    <i>
      <x v="234"/>
    </i>
    <i>
      <x v="235"/>
    </i>
    <i>
      <x v="236"/>
    </i>
    <i>
      <x v="237"/>
    </i>
    <i>
      <x v="238"/>
    </i>
    <i>
      <x v="239"/>
    </i>
    <i>
      <x v="240"/>
    </i>
    <i>
      <x v="242"/>
    </i>
    <i>
      <x v="245"/>
    </i>
    <i>
      <x v="246"/>
    </i>
    <i>
      <x v="247"/>
    </i>
    <i>
      <x v="248"/>
    </i>
    <i>
      <x v="249"/>
    </i>
    <i>
      <x v="256"/>
    </i>
    <i>
      <x v="257"/>
    </i>
    <i>
      <x v="258"/>
    </i>
    <i>
      <x v="259"/>
    </i>
    <i>
      <x v="260"/>
    </i>
    <i>
      <x v="261"/>
    </i>
    <i>
      <x v="262"/>
    </i>
    <i>
      <x v="263"/>
    </i>
    <i>
      <x v="264"/>
    </i>
    <i>
      <x v="265"/>
    </i>
    <i>
      <x v="266"/>
    </i>
    <i>
      <x v="267"/>
    </i>
    <i>
      <x v="268"/>
    </i>
    <i>
      <x v="269"/>
    </i>
    <i>
      <x v="271"/>
    </i>
    <i>
      <x v="272"/>
    </i>
    <i>
      <x v="273"/>
    </i>
    <i>
      <x v="275"/>
    </i>
    <i>
      <x v="277"/>
    </i>
    <i>
      <x v="279"/>
    </i>
    <i>
      <x v="280"/>
    </i>
    <i>
      <x v="281"/>
    </i>
    <i>
      <x v="282"/>
    </i>
    <i>
      <x v="283"/>
    </i>
    <i>
      <x v="284"/>
    </i>
    <i>
      <x v="285"/>
    </i>
    <i>
      <x v="286"/>
    </i>
    <i>
      <x v="288"/>
    </i>
    <i t="grand">
      <x/>
    </i>
  </rowItems>
  <colFields count="1">
    <field x="-2"/>
  </colFields>
  <colItems count="2">
    <i>
      <x/>
    </i>
    <i i="1">
      <x v="1"/>
    </i>
  </colItems>
  <pageFields count="1">
    <pageField fld="4" item="1" hier="-1"/>
  </pageFields>
  <dataFields count="2">
    <dataField name="Count of gpt_name" fld="3" subtotal="count" baseField="0" baseItem="0"/>
    <dataField name="Sum of messages_workspace" fld="9" baseField="0" baseItem="0"/>
  </dataFields>
  <formats count="22">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fieldPosition="0">
        <references count="1">
          <reference field="5" count="50">
            <x v="0"/>
            <x v="1"/>
            <x v="2"/>
            <x v="3"/>
            <x v="4"/>
            <x v="5"/>
            <x v="6"/>
            <x v="7"/>
            <x v="8"/>
            <x v="9"/>
            <x v="10"/>
            <x v="11"/>
            <x v="12"/>
            <x v="13"/>
            <x v="14"/>
            <x v="15"/>
            <x v="16"/>
            <x v="17"/>
            <x v="18"/>
            <x v="19"/>
            <x v="20"/>
            <x v="21"/>
            <x v="23"/>
            <x v="24"/>
            <x v="26"/>
            <x v="27"/>
            <x v="28"/>
            <x v="29"/>
            <x v="30"/>
            <x v="31"/>
            <x v="32"/>
            <x v="33"/>
            <x v="34"/>
            <x v="35"/>
            <x v="36"/>
            <x v="37"/>
            <x v="38"/>
            <x v="39"/>
            <x v="40"/>
            <x v="41"/>
            <x v="42"/>
            <x v="43"/>
            <x v="44"/>
            <x v="45"/>
            <x v="46"/>
            <x v="47"/>
            <x v="49"/>
            <x v="50"/>
            <x v="51"/>
            <x v="52"/>
          </reference>
        </references>
      </pivotArea>
    </format>
    <format dxfId="61">
      <pivotArea dataOnly="0" labelOnly="1" fieldPosition="0">
        <references count="1">
          <reference field="5" count="50">
            <x v="53"/>
            <x v="54"/>
            <x v="55"/>
            <x v="56"/>
            <x v="57"/>
            <x v="58"/>
            <x v="61"/>
            <x v="62"/>
            <x v="63"/>
            <x v="64"/>
            <x v="65"/>
            <x v="66"/>
            <x v="67"/>
            <x v="68"/>
            <x v="69"/>
            <x v="70"/>
            <x v="71"/>
            <x v="72"/>
            <x v="73"/>
            <x v="74"/>
            <x v="75"/>
            <x v="76"/>
            <x v="77"/>
            <x v="78"/>
            <x v="79"/>
            <x v="80"/>
            <x v="81"/>
            <x v="82"/>
            <x v="83"/>
            <x v="84"/>
            <x v="85"/>
            <x v="86"/>
            <x v="87"/>
            <x v="88"/>
            <x v="89"/>
            <x v="91"/>
            <x v="93"/>
            <x v="94"/>
            <x v="95"/>
            <x v="96"/>
            <x v="97"/>
            <x v="98"/>
            <x v="99"/>
            <x v="100"/>
            <x v="101"/>
            <x v="102"/>
            <x v="103"/>
            <x v="104"/>
            <x v="105"/>
            <x v="106"/>
          </reference>
        </references>
      </pivotArea>
    </format>
    <format dxfId="60">
      <pivotArea dataOnly="0" labelOnly="1" fieldPosition="0">
        <references count="1">
          <reference field="5" count="50">
            <x v="108"/>
            <x v="109"/>
            <x v="110"/>
            <x v="111"/>
            <x v="112"/>
            <x v="113"/>
            <x v="114"/>
            <x v="115"/>
            <x v="116"/>
            <x v="117"/>
            <x v="118"/>
            <x v="119"/>
            <x v="120"/>
            <x v="121"/>
            <x v="122"/>
            <x v="123"/>
            <x v="124"/>
            <x v="125"/>
            <x v="126"/>
            <x v="127"/>
            <x v="128"/>
            <x v="129"/>
            <x v="130"/>
            <x v="131"/>
            <x v="132"/>
            <x v="133"/>
            <x v="134"/>
            <x v="135"/>
            <x v="136"/>
            <x v="137"/>
            <x v="138"/>
            <x v="139"/>
            <x v="140"/>
            <x v="141"/>
            <x v="142"/>
            <x v="144"/>
            <x v="145"/>
            <x v="146"/>
            <x v="147"/>
            <x v="148"/>
            <x v="149"/>
            <x v="150"/>
            <x v="151"/>
            <x v="152"/>
            <x v="153"/>
            <x v="154"/>
            <x v="155"/>
            <x v="157"/>
            <x v="158"/>
            <x v="159"/>
          </reference>
        </references>
      </pivotArea>
    </format>
    <format dxfId="59">
      <pivotArea dataOnly="0" labelOnly="1" fieldPosition="0">
        <references count="1">
          <reference field="5" count="50">
            <x v="160"/>
            <x v="161"/>
            <x v="162"/>
            <x v="163"/>
            <x v="164"/>
            <x v="165"/>
            <x v="166"/>
            <x v="167"/>
            <x v="168"/>
            <x v="169"/>
            <x v="170"/>
            <x v="171"/>
            <x v="172"/>
            <x v="173"/>
            <x v="174"/>
            <x v="175"/>
            <x v="176"/>
            <x v="177"/>
            <x v="178"/>
            <x v="179"/>
            <x v="180"/>
            <x v="181"/>
            <x v="183"/>
            <x v="184"/>
            <x v="185"/>
            <x v="186"/>
            <x v="187"/>
            <x v="188"/>
            <x v="189"/>
            <x v="190"/>
            <x v="191"/>
            <x v="192"/>
            <x v="193"/>
            <x v="194"/>
            <x v="196"/>
            <x v="197"/>
            <x v="198"/>
            <x v="199"/>
            <x v="201"/>
            <x v="202"/>
            <x v="203"/>
            <x v="204"/>
            <x v="205"/>
            <x v="206"/>
            <x v="207"/>
            <x v="209"/>
            <x v="210"/>
            <x v="211"/>
            <x v="212"/>
            <x v="213"/>
          </reference>
        </references>
      </pivotArea>
    </format>
    <format dxfId="58">
      <pivotArea dataOnly="0" labelOnly="1" fieldPosition="0">
        <references count="1">
          <reference field="5" count="50">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reference>
        </references>
      </pivotArea>
    </format>
    <format dxfId="57">
      <pivotArea dataOnly="0" labelOnly="1" fieldPosition="0">
        <references count="1">
          <reference field="5" count="25">
            <x v="264"/>
            <x v="265"/>
            <x v="266"/>
            <x v="267"/>
            <x v="268"/>
            <x v="269"/>
            <x v="270"/>
            <x v="271"/>
            <x v="272"/>
            <x v="273"/>
            <x v="274"/>
            <x v="275"/>
            <x v="276"/>
            <x v="277"/>
            <x v="279"/>
            <x v="280"/>
            <x v="281"/>
            <x v="282"/>
            <x v="283"/>
            <x v="284"/>
            <x v="285"/>
            <x v="286"/>
            <x v="287"/>
            <x v="288"/>
            <x v="289"/>
          </reference>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 dxfId="54">
      <pivotArea type="all" dataOnly="0" outline="0" fieldPosition="0"/>
    </format>
    <format dxfId="53">
      <pivotArea outline="0" collapsedLevelsAreSubtotals="1" fieldPosition="0"/>
    </format>
    <format dxfId="52">
      <pivotArea field="5" type="button" dataOnly="0" labelOnly="1" outline="0" axis="axisRow" fieldPosition="0"/>
    </format>
    <format dxfId="51">
      <pivotArea dataOnly="0" labelOnly="1" fieldPosition="0">
        <references count="1">
          <reference field="5" count="50">
            <x v="0"/>
            <x v="1"/>
            <x v="2"/>
            <x v="3"/>
            <x v="4"/>
            <x v="5"/>
            <x v="6"/>
            <x v="7"/>
            <x v="8"/>
            <x v="9"/>
            <x v="10"/>
            <x v="11"/>
            <x v="12"/>
            <x v="13"/>
            <x v="14"/>
            <x v="15"/>
            <x v="16"/>
            <x v="17"/>
            <x v="18"/>
            <x v="19"/>
            <x v="20"/>
            <x v="21"/>
            <x v="23"/>
            <x v="24"/>
            <x v="26"/>
            <x v="27"/>
            <x v="28"/>
            <x v="29"/>
            <x v="30"/>
            <x v="31"/>
            <x v="32"/>
            <x v="33"/>
            <x v="34"/>
            <x v="35"/>
            <x v="36"/>
            <x v="37"/>
            <x v="38"/>
            <x v="39"/>
            <x v="40"/>
            <x v="41"/>
            <x v="42"/>
            <x v="43"/>
            <x v="44"/>
            <x v="45"/>
            <x v="46"/>
            <x v="47"/>
            <x v="49"/>
            <x v="50"/>
            <x v="51"/>
            <x v="52"/>
          </reference>
        </references>
      </pivotArea>
    </format>
    <format dxfId="50">
      <pivotArea dataOnly="0" labelOnly="1" fieldPosition="0">
        <references count="1">
          <reference field="5" count="50">
            <x v="53"/>
            <x v="54"/>
            <x v="55"/>
            <x v="56"/>
            <x v="57"/>
            <x v="58"/>
            <x v="61"/>
            <x v="62"/>
            <x v="63"/>
            <x v="64"/>
            <x v="65"/>
            <x v="66"/>
            <x v="67"/>
            <x v="68"/>
            <x v="69"/>
            <x v="70"/>
            <x v="71"/>
            <x v="72"/>
            <x v="73"/>
            <x v="74"/>
            <x v="75"/>
            <x v="76"/>
            <x v="77"/>
            <x v="78"/>
            <x v="79"/>
            <x v="80"/>
            <x v="81"/>
            <x v="82"/>
            <x v="83"/>
            <x v="84"/>
            <x v="85"/>
            <x v="86"/>
            <x v="87"/>
            <x v="88"/>
            <x v="89"/>
            <x v="91"/>
            <x v="93"/>
            <x v="94"/>
            <x v="95"/>
            <x v="96"/>
            <x v="97"/>
            <x v="98"/>
            <x v="99"/>
            <x v="100"/>
            <x v="101"/>
            <x v="102"/>
            <x v="103"/>
            <x v="104"/>
            <x v="105"/>
            <x v="106"/>
          </reference>
        </references>
      </pivotArea>
    </format>
    <format dxfId="49">
      <pivotArea dataOnly="0" labelOnly="1" fieldPosition="0">
        <references count="1">
          <reference field="5" count="50">
            <x v="108"/>
            <x v="109"/>
            <x v="110"/>
            <x v="111"/>
            <x v="112"/>
            <x v="113"/>
            <x v="114"/>
            <x v="115"/>
            <x v="116"/>
            <x v="117"/>
            <x v="118"/>
            <x v="119"/>
            <x v="120"/>
            <x v="121"/>
            <x v="122"/>
            <x v="123"/>
            <x v="124"/>
            <x v="125"/>
            <x v="126"/>
            <x v="127"/>
            <x v="128"/>
            <x v="129"/>
            <x v="130"/>
            <x v="131"/>
            <x v="132"/>
            <x v="133"/>
            <x v="134"/>
            <x v="135"/>
            <x v="136"/>
            <x v="137"/>
            <x v="138"/>
            <x v="139"/>
            <x v="140"/>
            <x v="141"/>
            <x v="142"/>
            <x v="144"/>
            <x v="145"/>
            <x v="146"/>
            <x v="147"/>
            <x v="148"/>
            <x v="149"/>
            <x v="150"/>
            <x v="151"/>
            <x v="152"/>
            <x v="153"/>
            <x v="154"/>
            <x v="155"/>
            <x v="157"/>
            <x v="158"/>
            <x v="159"/>
          </reference>
        </references>
      </pivotArea>
    </format>
    <format dxfId="48">
      <pivotArea dataOnly="0" labelOnly="1" fieldPosition="0">
        <references count="1">
          <reference field="5" count="50">
            <x v="160"/>
            <x v="161"/>
            <x v="162"/>
            <x v="163"/>
            <x v="164"/>
            <x v="165"/>
            <x v="166"/>
            <x v="167"/>
            <x v="168"/>
            <x v="169"/>
            <x v="170"/>
            <x v="171"/>
            <x v="172"/>
            <x v="173"/>
            <x v="174"/>
            <x v="175"/>
            <x v="176"/>
            <x v="177"/>
            <x v="178"/>
            <x v="179"/>
            <x v="180"/>
            <x v="181"/>
            <x v="183"/>
            <x v="184"/>
            <x v="185"/>
            <x v="186"/>
            <x v="187"/>
            <x v="188"/>
            <x v="189"/>
            <x v="190"/>
            <x v="191"/>
            <x v="192"/>
            <x v="193"/>
            <x v="194"/>
            <x v="196"/>
            <x v="197"/>
            <x v="198"/>
            <x v="199"/>
            <x v="201"/>
            <x v="202"/>
            <x v="203"/>
            <x v="204"/>
            <x v="205"/>
            <x v="206"/>
            <x v="207"/>
            <x v="209"/>
            <x v="210"/>
            <x v="211"/>
            <x v="212"/>
            <x v="213"/>
          </reference>
        </references>
      </pivotArea>
    </format>
    <format dxfId="47">
      <pivotArea dataOnly="0" labelOnly="1" fieldPosition="0">
        <references count="1">
          <reference field="5" count="50">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reference>
        </references>
      </pivotArea>
    </format>
    <format dxfId="46">
      <pivotArea dataOnly="0" labelOnly="1" fieldPosition="0">
        <references count="1">
          <reference field="5" count="25">
            <x v="264"/>
            <x v="265"/>
            <x v="266"/>
            <x v="267"/>
            <x v="268"/>
            <x v="269"/>
            <x v="270"/>
            <x v="271"/>
            <x v="272"/>
            <x v="273"/>
            <x v="274"/>
            <x v="275"/>
            <x v="276"/>
            <x v="277"/>
            <x v="279"/>
            <x v="280"/>
            <x v="281"/>
            <x v="282"/>
            <x v="283"/>
            <x v="284"/>
            <x v="285"/>
            <x v="286"/>
            <x v="287"/>
            <x v="288"/>
            <x v="289"/>
          </reference>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aptionGreaterThanOrEqual" evalOrder="-1" id="3" stringValue1="1">
      <autoFilter ref="A1">
        <filterColumn colId="0">
          <customFilters>
            <customFilter operator="greaterThanOrEqual"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A97D9A-7BF9-4ABF-8F4E-4C7D739C0C3D}"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C23" firstHeaderRow="0" firstDataRow="1" firstDataCol="1"/>
  <pivotFields count="13">
    <pivotField showAll="0"/>
    <pivotField axis="axisRow" numFmtId="14" showAll="0">
      <items count="2">
        <item x="0"/>
        <item t="default"/>
      </items>
    </pivotField>
    <pivotField numFmtId="14" showAll="0"/>
    <pivotField axis="axisRow" multipleItemSelectionAllowed="1" showAll="0">
      <items count="379">
        <item h="1" x="206"/>
        <item h="1" x="4"/>
        <item h="1" x="274"/>
        <item h="1" x="259"/>
        <item h="1" x="243"/>
        <item h="1" x="30"/>
        <item h="1" x="31"/>
        <item h="1" x="14"/>
        <item h="1" x="43"/>
        <item h="1" x="193"/>
        <item h="1" x="242"/>
        <item h="1" x="240"/>
        <item h="1" x="291"/>
        <item h="1" x="122"/>
        <item h="1" x="6"/>
        <item h="1" x="296"/>
        <item h="1" x="27"/>
        <item h="1" x="7"/>
        <item h="1" x="181"/>
        <item h="1" x="101"/>
        <item h="1" x="174"/>
        <item h="1" x="241"/>
        <item h="1" x="341"/>
        <item h="1" x="29"/>
        <item h="1" x="41"/>
        <item h="1" x="353"/>
        <item h="1" x="11"/>
        <item h="1" x="272"/>
        <item h="1" x="116"/>
        <item h="1" x="171"/>
        <item h="1" x="172"/>
        <item h="1" x="346"/>
        <item h="1" x="279"/>
        <item h="1" x="292"/>
        <item h="1" x="332"/>
        <item h="1" x="352"/>
        <item h="1" x="270"/>
        <item h="1" x="212"/>
        <item h="1" x="222"/>
        <item h="1" x="182"/>
        <item h="1" x="65"/>
        <item h="1" x="131"/>
        <item h="1" x="70"/>
        <item h="1" x="18"/>
        <item h="1" x="16"/>
        <item h="1" x="120"/>
        <item h="1" x="37"/>
        <item h="1" x="48"/>
        <item h="1" x="46"/>
        <item h="1" x="55"/>
        <item h="1" x="49"/>
        <item h="1" x="267"/>
        <item h="1" x="52"/>
        <item h="1" x="50"/>
        <item h="1" x="166"/>
        <item h="1" x="196"/>
        <item h="1" x="288"/>
        <item h="1" x="22"/>
        <item h="1" x="35"/>
        <item h="1" x="319"/>
        <item h="1" x="81"/>
        <item h="1" x="330"/>
        <item x="47"/>
        <item x="42"/>
        <item x="310"/>
        <item h="1" x="235"/>
        <item h="1" x="130"/>
        <item h="1" x="124"/>
        <item h="1" x="211"/>
        <item h="1" x="214"/>
        <item h="1" x="90"/>
        <item h="1" x="91"/>
        <item h="1" x="92"/>
        <item h="1" x="88"/>
        <item h="1" x="113"/>
        <item h="1" x="39"/>
        <item h="1" x="51"/>
        <item h="1" x="58"/>
        <item h="1" x="97"/>
        <item h="1" x="377"/>
        <item h="1" x="176"/>
        <item h="1" x="210"/>
        <item h="1" x="194"/>
        <item h="1" x="185"/>
        <item h="1" x="119"/>
        <item h="1" x="361"/>
        <item h="1" x="354"/>
        <item h="1" x="228"/>
        <item h="1" x="127"/>
        <item h="1" x="322"/>
        <item h="1" x="358"/>
        <item h="1" x="156"/>
        <item h="1" x="357"/>
        <item h="1" x="151"/>
        <item h="1" x="142"/>
        <item h="1" x="230"/>
        <item h="1" x="175"/>
        <item h="1" x="303"/>
        <item h="1" x="273"/>
        <item h="1" x="227"/>
        <item h="1" x="238"/>
        <item h="1" x="98"/>
        <item h="1" x="12"/>
        <item h="1" x="34"/>
        <item h="1" x="216"/>
        <item h="1" x="86"/>
        <item h="1" x="256"/>
        <item h="1" x="248"/>
        <item h="1" x="250"/>
        <item h="1" x="333"/>
        <item h="1" x="262"/>
        <item h="1" x="69"/>
        <item h="1" x="376"/>
        <item h="1" x="350"/>
        <item h="1" x="297"/>
        <item h="1" x="224"/>
        <item h="1" x="314"/>
        <item h="1" x="363"/>
        <item h="1" x="167"/>
        <item h="1" x="329"/>
        <item h="1" x="168"/>
        <item h="1" x="66"/>
        <item h="1" x="218"/>
        <item h="1" x="282"/>
        <item h="1" x="298"/>
        <item h="1" x="75"/>
        <item h="1" x="232"/>
        <item h="1" x="200"/>
        <item h="1" x="173"/>
        <item h="1" x="160"/>
        <item h="1" x="178"/>
        <item h="1" x="136"/>
        <item h="1" x="373"/>
        <item h="1" x="375"/>
        <item h="1" x="79"/>
        <item h="1" x="237"/>
        <item h="1" x="275"/>
        <item h="1" x="308"/>
        <item h="1" x="309"/>
        <item h="1" x="343"/>
        <item h="1" x="313"/>
        <item h="1" x="225"/>
        <item h="1" x="135"/>
        <item h="1" x="109"/>
        <item h="1" x="374"/>
        <item h="1" x="254"/>
        <item h="1" x="44"/>
        <item h="1" x="344"/>
        <item h="1" x="345"/>
        <item h="1" x="342"/>
        <item h="1" x="306"/>
        <item h="1" x="229"/>
        <item h="1" x="139"/>
        <item h="1" x="140"/>
        <item h="1" x="141"/>
        <item h="1" x="45"/>
        <item h="1" x="125"/>
        <item h="1" x="78"/>
        <item h="1" x="164"/>
        <item h="1" x="186"/>
        <item h="1" x="148"/>
        <item h="1" x="145"/>
        <item h="1" x="155"/>
        <item h="1" x="149"/>
        <item h="1" x="153"/>
        <item h="1" x="146"/>
        <item h="1" x="147"/>
        <item h="1" x="150"/>
        <item h="1" x="144"/>
        <item h="1" x="154"/>
        <item h="1" x="271"/>
        <item h="1" x="1"/>
        <item h="1" x="13"/>
        <item h="1" x="233"/>
        <item h="1" x="15"/>
        <item h="1" x="277"/>
        <item h="1" x="118"/>
        <item h="1" x="287"/>
        <item h="1" x="289"/>
        <item h="1" x="349"/>
        <item h="1" x="362"/>
        <item h="1" x="187"/>
        <item h="1" x="184"/>
        <item h="1" x="284"/>
        <item h="1" x="117"/>
        <item h="1" x="192"/>
        <item h="1" x="107"/>
        <item h="1" x="304"/>
        <item h="1" x="203"/>
        <item h="1" x="134"/>
        <item h="1" x="3"/>
        <item h="1" x="110"/>
        <item h="1" x="132"/>
        <item h="1" x="68"/>
        <item h="1" x="261"/>
        <item h="1" x="161"/>
        <item h="1" x="260"/>
        <item h="1" x="264"/>
        <item h="1" x="226"/>
        <item h="1" x="283"/>
        <item h="1" x="318"/>
        <item h="1" x="263"/>
        <item h="1" x="195"/>
        <item h="1" x="301"/>
        <item h="1" x="71"/>
        <item h="1" x="96"/>
        <item h="1" x="327"/>
        <item h="1" x="80"/>
        <item h="1" x="106"/>
        <item h="1" x="290"/>
        <item h="1" x="305"/>
        <item h="1" x="246"/>
        <item h="1" x="236"/>
        <item h="1" x="20"/>
        <item h="1" x="338"/>
        <item h="1" x="234"/>
        <item h="1" x="108"/>
        <item h="1" x="53"/>
        <item h="1" x="57"/>
        <item h="1" x="269"/>
        <item h="1" x="128"/>
        <item h="1" x="74"/>
        <item h="1" x="280"/>
        <item h="1" x="253"/>
        <item h="1" x="104"/>
        <item h="1" x="213"/>
        <item h="1" x="138"/>
        <item h="1" x="307"/>
        <item h="1" x="126"/>
        <item h="1" x="83"/>
        <item h="1" x="258"/>
        <item h="1" x="335"/>
        <item h="1" x="265"/>
        <item h="1" x="268"/>
        <item h="1" x="115"/>
        <item h="1" x="63"/>
        <item h="1" x="67"/>
        <item h="1" x="32"/>
        <item h="1" x="157"/>
        <item h="1" x="286"/>
        <item h="1" x="251"/>
        <item h="1" x="355"/>
        <item h="1" x="320"/>
        <item h="1" x="321"/>
        <item h="1" x="359"/>
        <item h="1" x="152"/>
        <item h="1" x="356"/>
        <item h="1" x="365"/>
        <item h="1" x="143"/>
        <item h="1" x="129"/>
        <item h="1" x="220"/>
        <item h="1" x="9"/>
        <item h="1" x="177"/>
        <item h="1" x="99"/>
        <item h="1" x="204"/>
        <item h="1" x="17"/>
        <item h="1" x="123"/>
        <item h="1" x="249"/>
        <item h="1" x="198"/>
        <item h="1" x="276"/>
        <item h="1" x="137"/>
        <item h="1" x="252"/>
        <item h="1" x="209"/>
        <item h="1" x="208"/>
        <item h="1" x="158"/>
        <item h="1" x="77"/>
        <item h="1" x="367"/>
        <item h="1" x="364"/>
        <item h="1" x="93"/>
        <item h="1" x="24"/>
        <item h="1" x="351"/>
        <item h="1" x="180"/>
        <item h="1" x="38"/>
        <item h="1" x="40"/>
        <item h="1" x="59"/>
        <item h="1" x="76"/>
        <item h="1" x="26"/>
        <item h="1" x="133"/>
        <item h="1" x="300"/>
        <item h="1" x="299"/>
        <item h="1" x="112"/>
        <item h="1" x="89"/>
        <item h="1" x="33"/>
        <item h="1" x="21"/>
        <item h="1" x="179"/>
        <item h="1" x="339"/>
        <item h="1" x="223"/>
        <item h="1" x="340"/>
        <item h="1" x="326"/>
        <item h="1" x="36"/>
        <item h="1" x="215"/>
        <item h="1" x="28"/>
        <item h="1" x="247"/>
        <item h="1" x="239"/>
        <item h="1" x="360"/>
        <item h="1" x="95"/>
        <item h="1" x="0"/>
        <item h="1" x="325"/>
        <item h="1" x="324"/>
        <item h="1" x="245"/>
        <item h="1" x="285"/>
        <item h="1" x="94"/>
        <item h="1" x="114"/>
        <item h="1" x="370"/>
        <item h="1" x="257"/>
        <item h="1" x="317"/>
        <item h="1" x="294"/>
        <item h="1" x="163"/>
        <item h="1" x="85"/>
        <item h="1" x="84"/>
        <item h="1" x="62"/>
        <item h="1" x="60"/>
        <item h="1" x="73"/>
        <item h="1" x="82"/>
        <item h="1" x="5"/>
        <item h="1" x="255"/>
        <item h="1" x="302"/>
        <item h="1" x="315"/>
        <item h="1" x="312"/>
        <item h="1" x="311"/>
        <item h="1" x="316"/>
        <item h="1" x="323"/>
        <item h="1" x="295"/>
        <item h="1" x="19"/>
        <item h="1" x="197"/>
        <item h="1" x="191"/>
        <item h="1" x="162"/>
        <item h="1" x="10"/>
        <item h="1" x="23"/>
        <item h="1" x="111"/>
        <item h="1" x="219"/>
        <item h="1" x="189"/>
        <item h="1" x="190"/>
        <item h="1" x="199"/>
        <item h="1" x="205"/>
        <item h="1" x="328"/>
        <item h="1" x="165"/>
        <item h="1" x="102"/>
        <item h="1" x="87"/>
        <item h="1" x="8"/>
        <item h="1" x="293"/>
        <item h="1" x="103"/>
        <item h="1" x="100"/>
        <item h="1" x="170"/>
        <item h="1" x="231"/>
        <item h="1" x="331"/>
        <item h="1" x="336"/>
        <item h="1" x="337"/>
        <item h="1" x="281"/>
        <item h="1" x="202"/>
        <item h="1" x="25"/>
        <item h="1" x="105"/>
        <item h="1" x="201"/>
        <item h="1" x="61"/>
        <item h="1" x="54"/>
        <item h="1" x="64"/>
        <item h="1" x="217"/>
        <item h="1" x="334"/>
        <item h="1" x="348"/>
        <item h="1" x="347"/>
        <item h="1" x="56"/>
        <item h="1" x="372"/>
        <item h="1" x="371"/>
        <item h="1" x="159"/>
        <item h="1" x="221"/>
        <item h="1" x="366"/>
        <item h="1" x="369"/>
        <item h="1" x="368"/>
        <item h="1" x="266"/>
        <item h="1" x="169"/>
        <item h="1" x="207"/>
        <item h="1" x="72"/>
        <item h="1" x="244"/>
        <item h="1" x="188"/>
        <item h="1" x="278"/>
        <item h="1" x="121"/>
        <item h="1" x="183"/>
        <item h="1" x="2"/>
        <item t="default"/>
      </items>
    </pivotField>
    <pivotField showAll="0"/>
    <pivotField showAll="0"/>
    <pivotField showAll="0"/>
    <pivotField showAll="0"/>
    <pivotField showAll="0"/>
    <pivotField dataField="1" showAll="0"/>
    <pivotField dataField="1" showAll="0"/>
    <pivotField showAll="0"/>
    <pivotField showAll="0"/>
  </pivotFields>
  <rowFields count="2">
    <field x="1"/>
    <field x="3"/>
  </rowFields>
  <rowItems count="5">
    <i>
      <x/>
    </i>
    <i r="1">
      <x v="62"/>
    </i>
    <i r="1">
      <x v="63"/>
    </i>
    <i r="1">
      <x v="64"/>
    </i>
    <i t="grand">
      <x/>
    </i>
  </rowItems>
  <colFields count="1">
    <field x="-2"/>
  </colFields>
  <colItems count="2">
    <i>
      <x/>
    </i>
    <i i="1">
      <x v="1"/>
    </i>
  </colItems>
  <dataFields count="2">
    <dataField name="Sum of messages_workspace" fld="9" baseField="0" baseItem="0"/>
    <dataField name="Sum of unique_messagers_workspa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0EFEFB-A90D-4442-951D-C7146392EA5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13">
    <pivotField showAll="0"/>
    <pivotField axis="axisRow" numFmtId="14" showAll="0">
      <items count="2">
        <item x="0"/>
        <item t="default"/>
      </items>
    </pivotField>
    <pivotField numFmtId="14" showAll="0"/>
    <pivotField axis="axisRow" multipleItemSelectionAllowed="1" showAll="0">
      <items count="379">
        <item h="1" x="206"/>
        <item h="1" x="4"/>
        <item h="1" x="274"/>
        <item h="1" x="259"/>
        <item h="1" x="243"/>
        <item h="1" x="30"/>
        <item h="1" x="31"/>
        <item h="1" x="14"/>
        <item h="1" x="43"/>
        <item h="1" x="193"/>
        <item h="1" x="242"/>
        <item h="1" x="240"/>
        <item h="1" x="291"/>
        <item h="1" x="122"/>
        <item h="1" x="6"/>
        <item h="1" x="296"/>
        <item h="1" x="27"/>
        <item h="1" x="7"/>
        <item h="1" x="181"/>
        <item h="1" x="101"/>
        <item h="1" x="174"/>
        <item h="1" x="241"/>
        <item h="1" x="341"/>
        <item h="1" x="29"/>
        <item h="1" x="41"/>
        <item h="1" x="353"/>
        <item h="1" x="11"/>
        <item h="1" x="272"/>
        <item h="1" x="116"/>
        <item h="1" x="171"/>
        <item h="1" x="172"/>
        <item h="1" x="346"/>
        <item h="1" x="279"/>
        <item h="1" x="292"/>
        <item h="1" x="332"/>
        <item h="1" x="352"/>
        <item h="1" x="270"/>
        <item h="1" x="212"/>
        <item h="1" x="222"/>
        <item h="1" x="182"/>
        <item h="1" x="65"/>
        <item h="1" x="131"/>
        <item h="1" x="70"/>
        <item h="1" x="18"/>
        <item h="1" x="16"/>
        <item x="120"/>
        <item x="37"/>
        <item x="48"/>
        <item x="46"/>
        <item x="55"/>
        <item x="49"/>
        <item x="267"/>
        <item x="52"/>
        <item x="50"/>
        <item x="166"/>
        <item x="196"/>
        <item h="1" x="288"/>
        <item h="1" x="22"/>
        <item h="1" x="35"/>
        <item h="1" x="319"/>
        <item h="1" x="81"/>
        <item h="1" x="330"/>
        <item h="1" x="47"/>
        <item h="1" x="42"/>
        <item h="1" x="310"/>
        <item h="1" x="235"/>
        <item h="1" x="130"/>
        <item h="1" x="124"/>
        <item h="1" x="211"/>
        <item h="1" x="214"/>
        <item h="1" x="90"/>
        <item h="1" x="91"/>
        <item h="1" x="92"/>
        <item h="1" x="88"/>
        <item h="1" x="113"/>
        <item h="1" x="39"/>
        <item h="1" x="51"/>
        <item h="1" x="58"/>
        <item h="1" x="97"/>
        <item h="1" x="377"/>
        <item h="1" x="176"/>
        <item h="1" x="210"/>
        <item h="1" x="194"/>
        <item h="1" x="185"/>
        <item h="1" x="119"/>
        <item h="1" x="361"/>
        <item h="1" x="354"/>
        <item h="1" x="228"/>
        <item h="1" x="127"/>
        <item h="1" x="322"/>
        <item h="1" x="358"/>
        <item h="1" x="156"/>
        <item h="1" x="357"/>
        <item h="1" x="151"/>
        <item h="1" x="142"/>
        <item h="1" x="230"/>
        <item h="1" x="175"/>
        <item h="1" x="303"/>
        <item h="1" x="273"/>
        <item h="1" x="227"/>
        <item h="1" x="238"/>
        <item h="1" x="98"/>
        <item h="1" x="12"/>
        <item h="1" x="34"/>
        <item h="1" x="216"/>
        <item h="1" x="86"/>
        <item h="1" x="256"/>
        <item h="1" x="248"/>
        <item h="1" x="250"/>
        <item h="1" x="333"/>
        <item h="1" x="262"/>
        <item h="1" x="69"/>
        <item h="1" x="376"/>
        <item h="1" x="350"/>
        <item h="1" x="297"/>
        <item h="1" x="224"/>
        <item h="1" x="314"/>
        <item h="1" x="363"/>
        <item h="1" x="167"/>
        <item h="1" x="329"/>
        <item h="1" x="168"/>
        <item h="1" x="66"/>
        <item h="1" x="218"/>
        <item h="1" x="282"/>
        <item h="1" x="298"/>
        <item h="1" x="75"/>
        <item h="1" x="232"/>
        <item h="1" x="200"/>
        <item h="1" x="173"/>
        <item h="1" x="160"/>
        <item h="1" x="178"/>
        <item h="1" x="136"/>
        <item h="1" x="373"/>
        <item h="1" x="375"/>
        <item h="1" x="79"/>
        <item h="1" x="237"/>
        <item h="1" x="275"/>
        <item h="1" x="308"/>
        <item h="1" x="309"/>
        <item h="1" x="343"/>
        <item h="1" x="313"/>
        <item h="1" x="225"/>
        <item h="1" x="135"/>
        <item h="1" x="109"/>
        <item h="1" x="374"/>
        <item h="1" x="254"/>
        <item h="1" x="44"/>
        <item h="1" x="344"/>
        <item h="1" x="345"/>
        <item h="1" x="342"/>
        <item h="1" x="306"/>
        <item h="1" x="229"/>
        <item h="1" x="139"/>
        <item h="1" x="140"/>
        <item h="1" x="141"/>
        <item h="1" x="45"/>
        <item h="1" x="125"/>
        <item h="1" x="78"/>
        <item h="1" x="164"/>
        <item h="1" x="186"/>
        <item h="1" x="148"/>
        <item h="1" x="145"/>
        <item h="1" x="155"/>
        <item h="1" x="149"/>
        <item h="1" x="153"/>
        <item h="1" x="146"/>
        <item h="1" x="147"/>
        <item h="1" x="150"/>
        <item h="1" x="144"/>
        <item h="1" x="154"/>
        <item h="1" x="271"/>
        <item h="1" x="1"/>
        <item h="1" x="13"/>
        <item h="1" x="233"/>
        <item h="1" x="15"/>
        <item h="1" x="277"/>
        <item h="1" x="118"/>
        <item h="1" x="287"/>
        <item h="1" x="289"/>
        <item h="1" x="349"/>
        <item h="1" x="362"/>
        <item h="1" x="187"/>
        <item h="1" x="184"/>
        <item h="1" x="284"/>
        <item h="1" x="117"/>
        <item h="1" x="192"/>
        <item h="1" x="107"/>
        <item h="1" x="304"/>
        <item h="1" x="203"/>
        <item h="1" x="134"/>
        <item h="1" x="3"/>
        <item h="1" x="110"/>
        <item h="1" x="132"/>
        <item h="1" x="68"/>
        <item h="1" x="261"/>
        <item h="1" x="161"/>
        <item h="1" x="260"/>
        <item h="1" x="264"/>
        <item h="1" x="226"/>
        <item h="1" x="283"/>
        <item h="1" x="318"/>
        <item h="1" x="263"/>
        <item h="1" x="195"/>
        <item h="1" x="301"/>
        <item h="1" x="71"/>
        <item h="1" x="96"/>
        <item h="1" x="327"/>
        <item h="1" x="80"/>
        <item h="1" x="106"/>
        <item h="1" x="290"/>
        <item h="1" x="305"/>
        <item h="1" x="246"/>
        <item h="1" x="236"/>
        <item h="1" x="20"/>
        <item h="1" x="338"/>
        <item h="1" x="234"/>
        <item h="1" x="108"/>
        <item h="1" x="53"/>
        <item h="1" x="57"/>
        <item h="1" x="269"/>
        <item h="1" x="128"/>
        <item h="1" x="74"/>
        <item h="1" x="280"/>
        <item h="1" x="253"/>
        <item h="1" x="104"/>
        <item h="1" x="213"/>
        <item h="1" x="138"/>
        <item h="1" x="307"/>
        <item h="1" x="126"/>
        <item h="1" x="83"/>
        <item h="1" x="258"/>
        <item h="1" x="335"/>
        <item h="1" x="265"/>
        <item h="1" x="268"/>
        <item h="1" x="115"/>
        <item h="1" x="63"/>
        <item h="1" x="67"/>
        <item h="1" x="32"/>
        <item h="1" x="157"/>
        <item h="1" x="286"/>
        <item h="1" x="251"/>
        <item h="1" x="355"/>
        <item h="1" x="320"/>
        <item h="1" x="321"/>
        <item h="1" x="359"/>
        <item h="1" x="152"/>
        <item h="1" x="356"/>
        <item h="1" x="365"/>
        <item h="1" x="143"/>
        <item h="1" x="129"/>
        <item h="1" x="220"/>
        <item h="1" x="9"/>
        <item h="1" x="177"/>
        <item h="1" x="99"/>
        <item h="1" x="204"/>
        <item h="1" x="17"/>
        <item h="1" x="123"/>
        <item h="1" x="249"/>
        <item h="1" x="198"/>
        <item h="1" x="276"/>
        <item h="1" x="137"/>
        <item h="1" x="252"/>
        <item h="1" x="209"/>
        <item h="1" x="208"/>
        <item h="1" x="158"/>
        <item h="1" x="77"/>
        <item h="1" x="367"/>
        <item h="1" x="364"/>
        <item h="1" x="93"/>
        <item h="1" x="24"/>
        <item h="1" x="351"/>
        <item h="1" x="180"/>
        <item h="1" x="38"/>
        <item h="1" x="40"/>
        <item h="1" x="59"/>
        <item h="1" x="76"/>
        <item h="1" x="26"/>
        <item h="1" x="133"/>
        <item h="1" x="300"/>
        <item h="1" x="299"/>
        <item h="1" x="112"/>
        <item h="1" x="89"/>
        <item h="1" x="33"/>
        <item h="1" x="21"/>
        <item h="1" x="179"/>
        <item h="1" x="339"/>
        <item h="1" x="223"/>
        <item h="1" x="340"/>
        <item h="1" x="326"/>
        <item h="1" x="36"/>
        <item h="1" x="215"/>
        <item h="1" x="28"/>
        <item h="1" x="247"/>
        <item h="1" x="239"/>
        <item h="1" x="360"/>
        <item h="1" x="95"/>
        <item h="1" x="0"/>
        <item h="1" x="325"/>
        <item h="1" x="324"/>
        <item h="1" x="245"/>
        <item h="1" x="285"/>
        <item h="1" x="94"/>
        <item h="1" x="114"/>
        <item h="1" x="370"/>
        <item h="1" x="257"/>
        <item h="1" x="317"/>
        <item h="1" x="294"/>
        <item h="1" x="163"/>
        <item h="1" x="85"/>
        <item h="1" x="84"/>
        <item h="1" x="62"/>
        <item h="1" x="60"/>
        <item h="1" x="73"/>
        <item h="1" x="82"/>
        <item h="1" x="5"/>
        <item h="1" x="255"/>
        <item h="1" x="302"/>
        <item h="1" x="315"/>
        <item h="1" x="312"/>
        <item h="1" x="311"/>
        <item h="1" x="316"/>
        <item h="1" x="323"/>
        <item h="1" x="295"/>
        <item h="1" x="19"/>
        <item h="1" x="197"/>
        <item h="1" x="191"/>
        <item h="1" x="162"/>
        <item h="1" x="10"/>
        <item h="1" x="23"/>
        <item h="1" x="111"/>
        <item h="1" x="219"/>
        <item h="1" x="189"/>
        <item h="1" x="190"/>
        <item h="1" x="199"/>
        <item h="1" x="205"/>
        <item h="1" x="328"/>
        <item h="1" x="165"/>
        <item h="1" x="102"/>
        <item h="1" x="87"/>
        <item h="1" x="8"/>
        <item h="1" x="293"/>
        <item h="1" x="103"/>
        <item h="1" x="100"/>
        <item h="1" x="170"/>
        <item h="1" x="231"/>
        <item h="1" x="331"/>
        <item h="1" x="336"/>
        <item h="1" x="337"/>
        <item h="1" x="281"/>
        <item h="1" x="202"/>
        <item h="1" x="25"/>
        <item h="1" x="105"/>
        <item h="1" x="201"/>
        <item h="1" x="61"/>
        <item h="1" x="54"/>
        <item h="1" x="64"/>
        <item h="1" x="217"/>
        <item h="1" x="334"/>
        <item h="1" x="348"/>
        <item h="1" x="347"/>
        <item h="1" x="56"/>
        <item h="1" x="372"/>
        <item h="1" x="371"/>
        <item h="1" x="159"/>
        <item h="1" x="221"/>
        <item h="1" x="366"/>
        <item h="1" x="369"/>
        <item h="1" x="368"/>
        <item h="1" x="266"/>
        <item h="1" x="169"/>
        <item h="1" x="207"/>
        <item h="1" x="72"/>
        <item h="1" x="244"/>
        <item h="1" x="188"/>
        <item h="1" x="278"/>
        <item h="1" x="121"/>
        <item h="1" x="183"/>
        <item h="1" x="2"/>
        <item t="default"/>
      </items>
    </pivotField>
    <pivotField showAll="0"/>
    <pivotField showAll="0"/>
    <pivotField showAll="0"/>
    <pivotField showAll="0"/>
    <pivotField showAll="0"/>
    <pivotField dataField="1" showAll="0"/>
    <pivotField dataField="1" showAll="0"/>
    <pivotField showAll="0"/>
    <pivotField showAll="0"/>
  </pivotFields>
  <rowFields count="2">
    <field x="1"/>
    <field x="3"/>
  </rowFields>
  <rowItems count="13">
    <i>
      <x/>
    </i>
    <i r="1">
      <x v="45"/>
    </i>
    <i r="1">
      <x v="46"/>
    </i>
    <i r="1">
      <x v="47"/>
    </i>
    <i r="1">
      <x v="48"/>
    </i>
    <i r="1">
      <x v="49"/>
    </i>
    <i r="1">
      <x v="50"/>
    </i>
    <i r="1">
      <x v="51"/>
    </i>
    <i r="1">
      <x v="52"/>
    </i>
    <i r="1">
      <x v="53"/>
    </i>
    <i r="1">
      <x v="54"/>
    </i>
    <i r="1">
      <x v="55"/>
    </i>
    <i t="grand">
      <x/>
    </i>
  </rowItems>
  <colFields count="1">
    <field x="-2"/>
  </colFields>
  <colItems count="2">
    <i>
      <x/>
    </i>
    <i i="1">
      <x v="1"/>
    </i>
  </colItems>
  <dataFields count="2">
    <dataField name="Sum of messages_workspace" fld="9" baseField="0" baseItem="0"/>
    <dataField name="Sum of unique_messagers_workspa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DCD0F2-3F28-4976-A6B3-5164FB1B402A}" name="Table1" displayName="Table1" ref="A1:M641" totalsRowShown="0">
  <autoFilter ref="A1:M641" xr:uid="{B8DCD0F2-3F28-4976-A6B3-5164FB1B402A}"/>
  <sortState xmlns:xlrd2="http://schemas.microsoft.com/office/spreadsheetml/2017/richdata2" ref="A2:L641">
    <sortCondition ref="L1:L641"/>
  </sortState>
  <tableColumns count="13">
    <tableColumn id="1" xr3:uid="{D4C55824-D3CB-4044-9271-4F8E10C74E6B}" name="cadence"/>
    <tableColumn id="2" xr3:uid="{AAB7D047-0D48-471C-9EB3-68CCE0B40354}" name="period_start" dataDxfId="74"/>
    <tableColumn id="3" xr3:uid="{1F3CC8C4-003D-4B12-9C52-D3A1C786CE83}" name="period_end" dataDxfId="73"/>
    <tableColumn id="4" xr3:uid="{0D64E159-1667-49C7-A448-DF386FEC5A58}" name="gpt_name"/>
    <tableColumn id="5" xr3:uid="{7C40E4B4-3343-4B82-AA76-CA6DB76B3418}" name="config_type"/>
    <tableColumn id="6" xr3:uid="{0242610C-551D-4158-AD81-20438CE070E3}" name="gpt_description"/>
    <tableColumn id="7" xr3:uid="{0BC72D63-3EA8-484B-8E71-8211A7E396A9}" name="is_active"/>
    <tableColumn id="8" xr3:uid="{B310532D-4929-41A6-A65F-B4FB2CE58763}" name="first_day_active_in_period" dataDxfId="72"/>
    <tableColumn id="9" xr3:uid="{1DBE4102-B42C-41A5-A5A0-829F05278AD5}" name="last_day_active_in_period" dataDxfId="71"/>
    <tableColumn id="10" xr3:uid="{4F0EF21B-2C8E-4071-AD4C-D80CF6DBEB75}" name="messages_workspace"/>
    <tableColumn id="11" xr3:uid="{3E6BBC8D-E212-415F-BC3A-1E04CD5121BA}" name="unique_messagers_workspace"/>
    <tableColumn id="12" xr3:uid="{CF0BB8F4-B49B-493C-B6C8-B4BDE2429DB3}" name="gpt_creator_email"/>
    <tableColumn id="16" xr3:uid="{2867B2A4-C28C-4ECA-B4BF-FCE427E77A3D}" name="Exclu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94BB94-1856-4424-B5C4-EDB83DCDCCA9}" name="Table2" displayName="Table2" ref="N1:P641" totalsRowShown="0" headerRowDxfId="70" dataDxfId="69">
  <autoFilter ref="N1:P641" xr:uid="{3E94BB94-1856-4424-B5C4-EDB83DCDCCA9}"/>
  <sortState xmlns:xlrd2="http://schemas.microsoft.com/office/spreadsheetml/2017/richdata2" ref="N2:O641">
    <sortCondition ref="O1:O641"/>
  </sortState>
  <tableColumns count="3">
    <tableColumn id="1" xr3:uid="{2B5F6045-75E8-41B6-A8A9-0ED3685E96BD}" name="Theme2" dataDxfId="68">
      <calculatedColumnFormula array="1">_xlfn.IFS(
OR(ISNUMBER(SEARCH("email",D2)),ISNUMBER(SEARCH("email",F2)),ISNUMBER(SEARCH("polish",D2)),ISNUMBER(SEARCH("rewrite",F2)),ISNUMBER(SEARCH("copy",F2))),"Writing and comms",
OR(ISNUMBER(SEARCH("research",F2)),ISNUMBER(SEARCH("intel",F2)),ISNUMBER(SEARCH("company",D2)),ISNUMBER(SEARCH("digger",D2))),"Research and intel",
OR(ISNUMBER(SEARCH("prompt",D2)),ISNUMBER(SEARCH("prompt",F2))),"Prompting help",
OR(ISNUMBER(SEARCH("role",D2)),ISNUMBER(SEARCH("scorecard",F2)),ISNUMBER(SEARCH("competenc",F2))),"Role and leadership advisory",
OR(ISNUMBER(SEARCH("meeting",F2)),ISNUMBER(SEARCH("notes",F2)),ISNUMBER(SEARCH("summary",F2))),"Meeting notes and summarization",
TRUE,"Other or fragmented"
)</calculatedColumnFormula>
    </tableColumn>
    <tableColumn id="2" xr3:uid="{38D3A6F6-25D1-4250-AE82-E28823B5CEAB}" name="similarity_group" dataDxfId="67"/>
    <tableColumn id="4" xr3:uid="{3CB6AFCC-2B0D-4C76-8A3A-1C3C1516EE81}" name="Column1" dataDxfId="6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24A7-6DBF-479B-9BAA-598268EA7872}">
  <dimension ref="A1:P641"/>
  <sheetViews>
    <sheetView workbookViewId="0">
      <selection activeCell="B4" sqref="B4"/>
    </sheetView>
  </sheetViews>
  <sheetFormatPr defaultRowHeight="15" x14ac:dyDescent="0.25"/>
  <cols>
    <col min="1" max="1" width="10.42578125" customWidth="1"/>
    <col min="2" max="2" width="14" customWidth="1"/>
    <col min="3" max="3" width="13.42578125" customWidth="1"/>
    <col min="4" max="4" width="26.7109375" customWidth="1"/>
    <col min="5" max="5" width="13.5703125" customWidth="1"/>
    <col min="6" max="6" width="70.42578125" customWidth="1"/>
    <col min="7" max="7" width="10.85546875" customWidth="1"/>
    <col min="8" max="8" width="26.7109375" customWidth="1"/>
    <col min="9" max="9" width="26.28515625" customWidth="1"/>
    <col min="10" max="10" width="22.140625" customWidth="1"/>
    <col min="11" max="11" width="30.140625" customWidth="1"/>
    <col min="12" max="12" width="38.42578125" customWidth="1"/>
    <col min="13" max="13" width="16.5703125" customWidth="1"/>
    <col min="14" max="14" width="24.28515625" customWidth="1"/>
    <col min="15" max="15" width="33.42578125" customWidth="1"/>
  </cols>
  <sheetData>
    <row r="1" spans="1:16" x14ac:dyDescent="0.25">
      <c r="A1" t="s">
        <v>0</v>
      </c>
      <c r="B1" t="s">
        <v>1</v>
      </c>
      <c r="C1" t="s">
        <v>2</v>
      </c>
      <c r="D1" t="s">
        <v>3</v>
      </c>
      <c r="E1" t="s">
        <v>4</v>
      </c>
      <c r="F1" t="s">
        <v>5</v>
      </c>
      <c r="G1" t="s">
        <v>6</v>
      </c>
      <c r="H1" t="s">
        <v>7</v>
      </c>
      <c r="I1" t="s">
        <v>8</v>
      </c>
      <c r="J1" t="s">
        <v>9</v>
      </c>
      <c r="K1" t="s">
        <v>10</v>
      </c>
      <c r="L1" t="s">
        <v>11</v>
      </c>
      <c r="M1" t="s">
        <v>12</v>
      </c>
      <c r="N1" s="12" t="s">
        <v>13</v>
      </c>
      <c r="O1" s="12" t="s">
        <v>14</v>
      </c>
      <c r="P1" s="12" t="s">
        <v>940</v>
      </c>
    </row>
    <row r="2" spans="1:16" x14ac:dyDescent="0.25">
      <c r="A2" t="s">
        <v>15</v>
      </c>
      <c r="B2" s="1">
        <v>45992</v>
      </c>
      <c r="C2" s="1">
        <v>46022</v>
      </c>
      <c r="D2" t="s">
        <v>16</v>
      </c>
      <c r="E2" t="s">
        <v>17</v>
      </c>
      <c r="G2">
        <v>0</v>
      </c>
      <c r="J2">
        <v>0</v>
      </c>
      <c r="K2">
        <v>0</v>
      </c>
      <c r="L2" t="s">
        <v>18</v>
      </c>
      <c r="M2" s="9" t="s">
        <v>19</v>
      </c>
      <c r="N2" s="3" t="str" cm="1">
        <f t="array" ref="N2">_xlfn.IFS(
OR(ISNUMBER(SEARCH("email",D2)),ISNUMBER(SEARCH("email",F2)),ISNUMBER(SEARCH("polish",D2)),ISNUMBER(SEARCH("rewrite",F2)),ISNUMBER(SEARCH("copy",F2))),"Writing and comms",
OR(ISNUMBER(SEARCH("research",F2)),ISNUMBER(SEARCH("intel",F2)),ISNUMBER(SEARCH("company",D2)),ISNUMBER(SEARCH("digger",D2))),"Research and intel",
OR(ISNUMBER(SEARCH("prompt",D2)),ISNUMBER(SEARCH("prompt",F2))),"Prompting help",
OR(ISNUMBER(SEARCH("role",D2)),ISNUMBER(SEARCH("scorecard",F2)),ISNUMBER(SEARCH("competenc",F2))),"Role and leadership advisory",
OR(ISNUMBER(SEARCH("meeting",F2)),ISNUMBER(SEARCH("notes",F2)),ISNUMBER(SEARCH("summary",F2))),"Meeting notes and summarization",
TRUE,"Other or fragmented"
)</f>
        <v>Other or fragmented</v>
      </c>
      <c r="O2" s="3" t="s">
        <v>37</v>
      </c>
      <c r="P2" s="3"/>
    </row>
    <row r="3" spans="1:16" x14ac:dyDescent="0.25">
      <c r="A3" t="s">
        <v>15</v>
      </c>
      <c r="B3" s="1">
        <v>45992</v>
      </c>
      <c r="C3" s="1">
        <v>46022</v>
      </c>
      <c r="D3" t="s">
        <v>21</v>
      </c>
      <c r="E3" t="s">
        <v>17</v>
      </c>
      <c r="F3" t="s">
        <v>22</v>
      </c>
      <c r="G3">
        <v>0</v>
      </c>
      <c r="J3">
        <v>0</v>
      </c>
      <c r="K3">
        <v>0</v>
      </c>
      <c r="L3" t="s">
        <v>18</v>
      </c>
      <c r="M3" s="10" t="s">
        <v>19</v>
      </c>
      <c r="N3" s="3" t="str" cm="1">
        <f t="array" ref="N3">_xlfn.IFS(
OR(ISNUMBER(SEARCH("email",D3)),ISNUMBER(SEARCH("email",F3)),ISNUMBER(SEARCH("polish",D3)),ISNUMBER(SEARCH("rewrite",F3)),ISNUMBER(SEARCH("copy",F3))),"Writing and comms",
OR(ISNUMBER(SEARCH("research",F3)),ISNUMBER(SEARCH("intel",F3)),ISNUMBER(SEARCH("company",D3)),ISNUMBER(SEARCH("digger",D3))),"Research and intel",
OR(ISNUMBER(SEARCH("prompt",D3)),ISNUMBER(SEARCH("prompt",F3))),"Prompting help",
OR(ISNUMBER(SEARCH("role",D3)),ISNUMBER(SEARCH("scorecard",F3)),ISNUMBER(SEARCH("competenc",F3))),"Role and leadership advisory",
OR(ISNUMBER(SEARCH("meeting",F3)),ISNUMBER(SEARCH("notes",F3)),ISNUMBER(SEARCH("summary",F3))),"Meeting notes and summarization",
TRUE,"Other or fragmented"
)</f>
        <v>Other or fragmented</v>
      </c>
      <c r="O3" s="3" t="s">
        <v>37</v>
      </c>
      <c r="P3" s="3"/>
    </row>
    <row r="4" spans="1:16" x14ac:dyDescent="0.25">
      <c r="A4" t="s">
        <v>15</v>
      </c>
      <c r="B4" s="1">
        <v>45992</v>
      </c>
      <c r="C4" s="1">
        <v>46022</v>
      </c>
      <c r="E4" t="s">
        <v>24</v>
      </c>
      <c r="G4">
        <v>0</v>
      </c>
      <c r="J4">
        <v>0</v>
      </c>
      <c r="K4">
        <v>0</v>
      </c>
      <c r="L4" t="s">
        <v>25</v>
      </c>
      <c r="M4" s="9" t="s">
        <v>19</v>
      </c>
      <c r="N4" s="3" t="str" cm="1">
        <f t="array" ref="N4">_xlfn.IFS(
OR(ISNUMBER(SEARCH("email",D4)),ISNUMBER(SEARCH("email",F4)),ISNUMBER(SEARCH("polish",D4)),ISNUMBER(SEARCH("rewrite",F4)),ISNUMBER(SEARCH("copy",F4))),"Writing and comms",
OR(ISNUMBER(SEARCH("research",F4)),ISNUMBER(SEARCH("intel",F4)),ISNUMBER(SEARCH("company",D4)),ISNUMBER(SEARCH("digger",D4))),"Research and intel",
OR(ISNUMBER(SEARCH("prompt",D4)),ISNUMBER(SEARCH("prompt",F4))),"Prompting help",
OR(ISNUMBER(SEARCH("role",D4)),ISNUMBER(SEARCH("scorecard",F4)),ISNUMBER(SEARCH("competenc",F4))),"Role and leadership advisory",
OR(ISNUMBER(SEARCH("meeting",F4)),ISNUMBER(SEARCH("notes",F4)),ISNUMBER(SEARCH("summary",F4))),"Meeting notes and summarization",
TRUE,"Other or fragmented"
)</f>
        <v>Other or fragmented</v>
      </c>
      <c r="O4" s="3" t="s">
        <v>37</v>
      </c>
      <c r="P4" s="3"/>
    </row>
    <row r="5" spans="1:16" x14ac:dyDescent="0.25">
      <c r="A5" t="s">
        <v>15</v>
      </c>
      <c r="B5" s="1">
        <v>45992</v>
      </c>
      <c r="C5" s="1">
        <v>46022</v>
      </c>
      <c r="D5" t="s">
        <v>26</v>
      </c>
      <c r="E5" t="s">
        <v>24</v>
      </c>
      <c r="F5" t="s">
        <v>27</v>
      </c>
      <c r="G5">
        <v>1</v>
      </c>
      <c r="H5" s="1">
        <v>46000</v>
      </c>
      <c r="I5" s="1">
        <v>46000</v>
      </c>
      <c r="J5">
        <v>4</v>
      </c>
      <c r="K5">
        <v>1</v>
      </c>
      <c r="L5" t="s">
        <v>28</v>
      </c>
      <c r="M5" s="10" t="s">
        <v>19</v>
      </c>
      <c r="N5" s="3" t="str" cm="1">
        <f t="array" ref="N5">_xlfn.IFS(
OR(ISNUMBER(SEARCH("email",D5)),ISNUMBER(SEARCH("email",F5)),ISNUMBER(SEARCH("polish",D5)),ISNUMBER(SEARCH("rewrite",F5)),ISNUMBER(SEARCH("copy",F5))),"Writing and comms",
OR(ISNUMBER(SEARCH("research",F5)),ISNUMBER(SEARCH("intel",F5)),ISNUMBER(SEARCH("company",D5)),ISNUMBER(SEARCH("digger",D5))),"Research and intel",
OR(ISNUMBER(SEARCH("prompt",D5)),ISNUMBER(SEARCH("prompt",F5))),"Prompting help",
OR(ISNUMBER(SEARCH("role",D5)),ISNUMBER(SEARCH("scorecard",F5)),ISNUMBER(SEARCH("competenc",F5))),"Role and leadership advisory",
OR(ISNUMBER(SEARCH("meeting",F5)),ISNUMBER(SEARCH("notes",F5)),ISNUMBER(SEARCH("summary",F5))),"Meeting notes and summarization",
TRUE,"Other or fragmented"
)</f>
        <v>Other or fragmented</v>
      </c>
      <c r="O5" s="3" t="s">
        <v>37</v>
      </c>
      <c r="P5" s="3"/>
    </row>
    <row r="6" spans="1:16" x14ac:dyDescent="0.25">
      <c r="A6" t="s">
        <v>15</v>
      </c>
      <c r="B6" s="1">
        <v>45992</v>
      </c>
      <c r="C6" s="1">
        <v>46022</v>
      </c>
      <c r="E6" t="s">
        <v>24</v>
      </c>
      <c r="G6">
        <v>0</v>
      </c>
      <c r="J6">
        <v>0</v>
      </c>
      <c r="K6">
        <v>0</v>
      </c>
      <c r="L6" t="s">
        <v>30</v>
      </c>
      <c r="M6" s="9" t="s">
        <v>19</v>
      </c>
      <c r="N6" s="3" t="str" cm="1">
        <f t="array" ref="N6">_xlfn.IFS(
OR(ISNUMBER(SEARCH("email",D6)),ISNUMBER(SEARCH("email",F6)),ISNUMBER(SEARCH("polish",D6)),ISNUMBER(SEARCH("rewrite",F6)),ISNUMBER(SEARCH("copy",F6))),"Writing and comms",
OR(ISNUMBER(SEARCH("research",F6)),ISNUMBER(SEARCH("intel",F6)),ISNUMBER(SEARCH("company",D6)),ISNUMBER(SEARCH("digger",D6))),"Research and intel",
OR(ISNUMBER(SEARCH("prompt",D6)),ISNUMBER(SEARCH("prompt",F6))),"Prompting help",
OR(ISNUMBER(SEARCH("role",D6)),ISNUMBER(SEARCH("scorecard",F6)),ISNUMBER(SEARCH("competenc",F6))),"Role and leadership advisory",
OR(ISNUMBER(SEARCH("meeting",F6)),ISNUMBER(SEARCH("notes",F6)),ISNUMBER(SEARCH("summary",F6))),"Meeting notes and summarization",
TRUE,"Other or fragmented"
)</f>
        <v>Other or fragmented</v>
      </c>
      <c r="O6" s="3" t="s">
        <v>37</v>
      </c>
      <c r="P6" s="3"/>
    </row>
    <row r="7" spans="1:16" x14ac:dyDescent="0.25">
      <c r="A7" t="s">
        <v>15</v>
      </c>
      <c r="B7" s="1">
        <v>45992</v>
      </c>
      <c r="C7" s="1">
        <v>46022</v>
      </c>
      <c r="D7" t="s">
        <v>31</v>
      </c>
      <c r="E7" t="s">
        <v>24</v>
      </c>
      <c r="F7" t="s">
        <v>32</v>
      </c>
      <c r="G7">
        <v>0</v>
      </c>
      <c r="J7">
        <v>0</v>
      </c>
      <c r="K7">
        <v>0</v>
      </c>
      <c r="L7" t="s">
        <v>30</v>
      </c>
      <c r="M7" s="10" t="s">
        <v>19</v>
      </c>
      <c r="N7" s="3" t="str" cm="1">
        <f t="array" ref="N7">_xlfn.IFS(
OR(ISNUMBER(SEARCH("email",D7)),ISNUMBER(SEARCH("email",F7)),ISNUMBER(SEARCH("polish",D7)),ISNUMBER(SEARCH("rewrite",F7)),ISNUMBER(SEARCH("copy",F7))),"Writing and comms",
OR(ISNUMBER(SEARCH("research",F7)),ISNUMBER(SEARCH("intel",F7)),ISNUMBER(SEARCH("company",D7)),ISNUMBER(SEARCH("digger",D7))),"Research and intel",
OR(ISNUMBER(SEARCH("prompt",D7)),ISNUMBER(SEARCH("prompt",F7))),"Prompting help",
OR(ISNUMBER(SEARCH("role",D7)),ISNUMBER(SEARCH("scorecard",F7)),ISNUMBER(SEARCH("competenc",F7))),"Role and leadership advisory",
OR(ISNUMBER(SEARCH("meeting",F7)),ISNUMBER(SEARCH("notes",F7)),ISNUMBER(SEARCH("summary",F7))),"Meeting notes and summarization",
TRUE,"Other or fragmented"
)</f>
        <v>Other or fragmented</v>
      </c>
      <c r="O7" s="3" t="s">
        <v>37</v>
      </c>
      <c r="P7" s="3"/>
    </row>
    <row r="8" spans="1:16" x14ac:dyDescent="0.25">
      <c r="A8" t="s">
        <v>15</v>
      </c>
      <c r="B8" s="1">
        <v>45992</v>
      </c>
      <c r="C8" s="1">
        <v>46022</v>
      </c>
      <c r="E8" t="s">
        <v>24</v>
      </c>
      <c r="G8">
        <v>0</v>
      </c>
      <c r="J8">
        <v>0</v>
      </c>
      <c r="K8">
        <v>0</v>
      </c>
      <c r="L8" t="s">
        <v>33</v>
      </c>
      <c r="M8" s="9" t="s">
        <v>19</v>
      </c>
      <c r="N8" s="3" t="str" cm="1">
        <f t="array" ref="N8">_xlfn.IFS(
OR(ISNUMBER(SEARCH("email",D8)),ISNUMBER(SEARCH("email",F8)),ISNUMBER(SEARCH("polish",D8)),ISNUMBER(SEARCH("rewrite",F8)),ISNUMBER(SEARCH("copy",F8))),"Writing and comms",
OR(ISNUMBER(SEARCH("research",F8)),ISNUMBER(SEARCH("intel",F8)),ISNUMBER(SEARCH("company",D8)),ISNUMBER(SEARCH("digger",D8))),"Research and intel",
OR(ISNUMBER(SEARCH("prompt",D8)),ISNUMBER(SEARCH("prompt",F8))),"Prompting help",
OR(ISNUMBER(SEARCH("role",D8)),ISNUMBER(SEARCH("scorecard",F8)),ISNUMBER(SEARCH("competenc",F8))),"Role and leadership advisory",
OR(ISNUMBER(SEARCH("meeting",F8)),ISNUMBER(SEARCH("notes",F8)),ISNUMBER(SEARCH("summary",F8))),"Meeting notes and summarization",
TRUE,"Other or fragmented"
)</f>
        <v>Other or fragmented</v>
      </c>
      <c r="O8" s="3" t="s">
        <v>37</v>
      </c>
      <c r="P8" s="3"/>
    </row>
    <row r="9" spans="1:16" x14ac:dyDescent="0.25">
      <c r="A9" t="s">
        <v>15</v>
      </c>
      <c r="B9" s="1">
        <v>45992</v>
      </c>
      <c r="C9" s="1">
        <v>46022</v>
      </c>
      <c r="D9" t="s">
        <v>34</v>
      </c>
      <c r="E9" t="s">
        <v>17</v>
      </c>
      <c r="F9" t="s">
        <v>35</v>
      </c>
      <c r="G9">
        <v>1</v>
      </c>
      <c r="H9" s="1">
        <v>46003</v>
      </c>
      <c r="I9" s="1">
        <v>46010</v>
      </c>
      <c r="J9">
        <v>12</v>
      </c>
      <c r="K9">
        <v>2</v>
      </c>
      <c r="L9" t="s">
        <v>36</v>
      </c>
      <c r="M9" s="10" t="s">
        <v>19</v>
      </c>
      <c r="N9" s="3" t="str" cm="1">
        <f t="array" ref="N9">_xlfn.IFS(
OR(ISNUMBER(SEARCH("email",D9)),ISNUMBER(SEARCH("email",F9)),ISNUMBER(SEARCH("polish",D9)),ISNUMBER(SEARCH("rewrite",F9)),ISNUMBER(SEARCH("copy",F9))),"Writing and comms",
OR(ISNUMBER(SEARCH("research",F9)),ISNUMBER(SEARCH("intel",F9)),ISNUMBER(SEARCH("company",D9)),ISNUMBER(SEARCH("digger",D9))),"Research and intel",
OR(ISNUMBER(SEARCH("prompt",D9)),ISNUMBER(SEARCH("prompt",F9))),"Prompting help",
OR(ISNUMBER(SEARCH("role",D9)),ISNUMBER(SEARCH("scorecard",F9)),ISNUMBER(SEARCH("competenc",F9))),"Role and leadership advisory",
OR(ISNUMBER(SEARCH("meeting",F9)),ISNUMBER(SEARCH("notes",F9)),ISNUMBER(SEARCH("summary",F9))),"Meeting notes and summarization",
TRUE,"Other or fragmented"
)</f>
        <v>Research and intel</v>
      </c>
      <c r="O9" s="3" t="s">
        <v>37</v>
      </c>
      <c r="P9" s="3"/>
    </row>
    <row r="10" spans="1:16" x14ac:dyDescent="0.25">
      <c r="A10" t="s">
        <v>15</v>
      </c>
      <c r="B10" s="1">
        <v>45992</v>
      </c>
      <c r="C10" s="1">
        <v>46022</v>
      </c>
      <c r="D10" t="s">
        <v>38</v>
      </c>
      <c r="E10" t="s">
        <v>17</v>
      </c>
      <c r="G10">
        <v>1</v>
      </c>
      <c r="H10" s="1">
        <v>46008</v>
      </c>
      <c r="I10" s="1">
        <v>46021</v>
      </c>
      <c r="J10">
        <v>175</v>
      </c>
      <c r="K10">
        <v>2</v>
      </c>
      <c r="L10" t="s">
        <v>36</v>
      </c>
      <c r="M10" s="9" t="s">
        <v>19</v>
      </c>
      <c r="N10" s="3" t="str" cm="1">
        <f t="array" ref="N10">_xlfn.IFS(
OR(ISNUMBER(SEARCH("email",D10)),ISNUMBER(SEARCH("email",F10)),ISNUMBER(SEARCH("polish",D10)),ISNUMBER(SEARCH("rewrite",F10)),ISNUMBER(SEARCH("copy",F10))),"Writing and comms",
OR(ISNUMBER(SEARCH("research",F10)),ISNUMBER(SEARCH("intel",F10)),ISNUMBER(SEARCH("company",D10)),ISNUMBER(SEARCH("digger",D10))),"Research and intel",
OR(ISNUMBER(SEARCH("prompt",D10)),ISNUMBER(SEARCH("prompt",F10))),"Prompting help",
OR(ISNUMBER(SEARCH("role",D10)),ISNUMBER(SEARCH("scorecard",F10)),ISNUMBER(SEARCH("competenc",F10))),"Role and leadership advisory",
OR(ISNUMBER(SEARCH("meeting",F10)),ISNUMBER(SEARCH("notes",F10)),ISNUMBER(SEARCH("summary",F10))),"Meeting notes and summarization",
TRUE,"Other or fragmented"
)</f>
        <v>Other or fragmented</v>
      </c>
      <c r="O10" s="3" t="s">
        <v>37</v>
      </c>
      <c r="P10" s="3"/>
    </row>
    <row r="11" spans="1:16" x14ac:dyDescent="0.25">
      <c r="A11" t="s">
        <v>15</v>
      </c>
      <c r="B11" s="1">
        <v>45992</v>
      </c>
      <c r="C11" s="1">
        <v>46022</v>
      </c>
      <c r="D11" t="s">
        <v>39</v>
      </c>
      <c r="E11" t="s">
        <v>17</v>
      </c>
      <c r="G11">
        <v>1</v>
      </c>
      <c r="H11" s="1">
        <v>46000</v>
      </c>
      <c r="I11" s="1">
        <v>46003</v>
      </c>
      <c r="J11">
        <v>2</v>
      </c>
      <c r="K11">
        <v>1</v>
      </c>
      <c r="L11" t="s">
        <v>36</v>
      </c>
      <c r="M11" s="10" t="s">
        <v>19</v>
      </c>
      <c r="N11" s="3" t="str" cm="1">
        <f t="array" ref="N11">_xlfn.IFS(
OR(ISNUMBER(SEARCH("email",D11)),ISNUMBER(SEARCH("email",F11)),ISNUMBER(SEARCH("polish",D11)),ISNUMBER(SEARCH("rewrite",F11)),ISNUMBER(SEARCH("copy",F11))),"Writing and comms",
OR(ISNUMBER(SEARCH("research",F11)),ISNUMBER(SEARCH("intel",F11)),ISNUMBER(SEARCH("company",D11)),ISNUMBER(SEARCH("digger",D11))),"Research and intel",
OR(ISNUMBER(SEARCH("prompt",D11)),ISNUMBER(SEARCH("prompt",F11))),"Prompting help",
OR(ISNUMBER(SEARCH("role",D11)),ISNUMBER(SEARCH("scorecard",F11)),ISNUMBER(SEARCH("competenc",F11))),"Role and leadership advisory",
OR(ISNUMBER(SEARCH("meeting",F11)),ISNUMBER(SEARCH("notes",F11)),ISNUMBER(SEARCH("summary",F11))),"Meeting notes and summarization",
TRUE,"Other or fragmented"
)</f>
        <v>Writing and comms</v>
      </c>
      <c r="O11" s="3" t="s">
        <v>37</v>
      </c>
      <c r="P11" s="3"/>
    </row>
    <row r="12" spans="1:16" x14ac:dyDescent="0.25">
      <c r="A12" t="s">
        <v>15</v>
      </c>
      <c r="B12" s="1">
        <v>45992</v>
      </c>
      <c r="C12" s="1">
        <v>46022</v>
      </c>
      <c r="D12" t="s">
        <v>40</v>
      </c>
      <c r="E12" t="s">
        <v>17</v>
      </c>
      <c r="G12">
        <v>1</v>
      </c>
      <c r="H12" s="1">
        <v>45993</v>
      </c>
      <c r="I12" s="1">
        <v>46001</v>
      </c>
      <c r="J12">
        <v>14</v>
      </c>
      <c r="K12">
        <v>1</v>
      </c>
      <c r="L12" t="s">
        <v>36</v>
      </c>
      <c r="M12" s="9" t="s">
        <v>19</v>
      </c>
      <c r="N12" s="3" t="str" cm="1">
        <f t="array" ref="N12">_xlfn.IFS(
OR(ISNUMBER(SEARCH("email",D12)),ISNUMBER(SEARCH("email",F12)),ISNUMBER(SEARCH("polish",D12)),ISNUMBER(SEARCH("rewrite",F12)),ISNUMBER(SEARCH("copy",F12))),"Writing and comms",
OR(ISNUMBER(SEARCH("research",F12)),ISNUMBER(SEARCH("intel",F12)),ISNUMBER(SEARCH("company",D12)),ISNUMBER(SEARCH("digger",D12))),"Research and intel",
OR(ISNUMBER(SEARCH("prompt",D12)),ISNUMBER(SEARCH("prompt",F12))),"Prompting help",
OR(ISNUMBER(SEARCH("role",D12)),ISNUMBER(SEARCH("scorecard",F12)),ISNUMBER(SEARCH("competenc",F12))),"Role and leadership advisory",
OR(ISNUMBER(SEARCH("meeting",F12)),ISNUMBER(SEARCH("notes",F12)),ISNUMBER(SEARCH("summary",F12))),"Meeting notes and summarization",
TRUE,"Other or fragmented"
)</f>
        <v>Writing and comms</v>
      </c>
      <c r="O12" s="3" t="s">
        <v>37</v>
      </c>
      <c r="P12" s="3"/>
    </row>
    <row r="13" spans="1:16" x14ac:dyDescent="0.25">
      <c r="A13" t="s">
        <v>15</v>
      </c>
      <c r="B13" s="1">
        <v>45992</v>
      </c>
      <c r="C13" s="1">
        <v>46022</v>
      </c>
      <c r="D13" t="s">
        <v>41</v>
      </c>
      <c r="E13" t="s">
        <v>17</v>
      </c>
      <c r="F13" t="s">
        <v>42</v>
      </c>
      <c r="G13">
        <v>1</v>
      </c>
      <c r="H13" s="1">
        <v>45992</v>
      </c>
      <c r="I13" s="1">
        <v>46010</v>
      </c>
      <c r="J13">
        <v>33</v>
      </c>
      <c r="K13">
        <v>1</v>
      </c>
      <c r="L13" t="s">
        <v>36</v>
      </c>
      <c r="M13" s="10" t="s">
        <v>19</v>
      </c>
      <c r="N13" s="3" t="str" cm="1">
        <f t="array" ref="N13">_xlfn.IFS(
OR(ISNUMBER(SEARCH("email",D13)),ISNUMBER(SEARCH("email",F13)),ISNUMBER(SEARCH("polish",D13)),ISNUMBER(SEARCH("rewrite",F13)),ISNUMBER(SEARCH("copy",F13))),"Writing and comms",
OR(ISNUMBER(SEARCH("research",F13)),ISNUMBER(SEARCH("intel",F13)),ISNUMBER(SEARCH("company",D13)),ISNUMBER(SEARCH("digger",D13))),"Research and intel",
OR(ISNUMBER(SEARCH("prompt",D13)),ISNUMBER(SEARCH("prompt",F13))),"Prompting help",
OR(ISNUMBER(SEARCH("role",D13)),ISNUMBER(SEARCH("scorecard",F13)),ISNUMBER(SEARCH("competenc",F13))),"Role and leadership advisory",
OR(ISNUMBER(SEARCH("meeting",F13)),ISNUMBER(SEARCH("notes",F13)),ISNUMBER(SEARCH("summary",F13))),"Meeting notes and summarization",
TRUE,"Other or fragmented"
)</f>
        <v>Other or fragmented</v>
      </c>
      <c r="O13" s="3" t="s">
        <v>37</v>
      </c>
      <c r="P13" s="3"/>
    </row>
    <row r="14" spans="1:16" x14ac:dyDescent="0.25">
      <c r="A14" t="s">
        <v>15</v>
      </c>
      <c r="B14" s="1">
        <v>45992</v>
      </c>
      <c r="C14" s="1">
        <v>46022</v>
      </c>
      <c r="D14" t="s">
        <v>43</v>
      </c>
      <c r="E14" t="s">
        <v>17</v>
      </c>
      <c r="F14" t="s">
        <v>44</v>
      </c>
      <c r="G14">
        <v>1</v>
      </c>
      <c r="H14" s="1">
        <v>46002</v>
      </c>
      <c r="I14" s="1">
        <v>46014</v>
      </c>
      <c r="J14">
        <v>118</v>
      </c>
      <c r="K14">
        <v>1</v>
      </c>
      <c r="L14" t="s">
        <v>36</v>
      </c>
      <c r="M14" s="9" t="s">
        <v>19</v>
      </c>
      <c r="N14" s="3" t="str" cm="1">
        <f t="array" ref="N14">_xlfn.IFS(
OR(ISNUMBER(SEARCH("email",D14)),ISNUMBER(SEARCH("email",F14)),ISNUMBER(SEARCH("polish",D14)),ISNUMBER(SEARCH("rewrite",F14)),ISNUMBER(SEARCH("copy",F14))),"Writing and comms",
OR(ISNUMBER(SEARCH("research",F14)),ISNUMBER(SEARCH("intel",F14)),ISNUMBER(SEARCH("company",D14)),ISNUMBER(SEARCH("digger",D14))),"Research and intel",
OR(ISNUMBER(SEARCH("prompt",D14)),ISNUMBER(SEARCH("prompt",F14))),"Prompting help",
OR(ISNUMBER(SEARCH("role",D14)),ISNUMBER(SEARCH("scorecard",F14)),ISNUMBER(SEARCH("competenc",F14))),"Role and leadership advisory",
OR(ISNUMBER(SEARCH("meeting",F14)),ISNUMBER(SEARCH("notes",F14)),ISNUMBER(SEARCH("summary",F14))),"Meeting notes and summarization",
TRUE,"Other or fragmented"
)</f>
        <v>Other or fragmented</v>
      </c>
      <c r="O14" s="3" t="s">
        <v>37</v>
      </c>
      <c r="P14" s="3"/>
    </row>
    <row r="15" spans="1:16" x14ac:dyDescent="0.25">
      <c r="A15" t="s">
        <v>15</v>
      </c>
      <c r="B15" s="1">
        <v>45992</v>
      </c>
      <c r="C15" s="1">
        <v>46022</v>
      </c>
      <c r="D15" t="s">
        <v>45</v>
      </c>
      <c r="E15" t="s">
        <v>24</v>
      </c>
      <c r="F15" t="s">
        <v>46</v>
      </c>
      <c r="G15">
        <v>1</v>
      </c>
      <c r="H15" s="1">
        <v>45994</v>
      </c>
      <c r="I15" s="1">
        <v>45994</v>
      </c>
      <c r="J15">
        <v>2</v>
      </c>
      <c r="K15">
        <v>1</v>
      </c>
      <c r="L15" t="s">
        <v>47</v>
      </c>
      <c r="M15" s="10" t="s">
        <v>19</v>
      </c>
      <c r="N15" s="3" t="str" cm="1">
        <f t="array" ref="N15">_xlfn.IFS(
OR(ISNUMBER(SEARCH("email",D15)),ISNUMBER(SEARCH("email",F15)),ISNUMBER(SEARCH("polish",D15)),ISNUMBER(SEARCH("rewrite",F15)),ISNUMBER(SEARCH("copy",F15))),"Writing and comms",
OR(ISNUMBER(SEARCH("research",F15)),ISNUMBER(SEARCH("intel",F15)),ISNUMBER(SEARCH("company",D15)),ISNUMBER(SEARCH("digger",D15))),"Research and intel",
OR(ISNUMBER(SEARCH("prompt",D15)),ISNUMBER(SEARCH("prompt",F15))),"Prompting help",
OR(ISNUMBER(SEARCH("role",D15)),ISNUMBER(SEARCH("scorecard",F15)),ISNUMBER(SEARCH("competenc",F15))),"Role and leadership advisory",
OR(ISNUMBER(SEARCH("meeting",F15)),ISNUMBER(SEARCH("notes",F15)),ISNUMBER(SEARCH("summary",F15))),"Meeting notes and summarization",
TRUE,"Other or fragmented"
)</f>
        <v>Other or fragmented</v>
      </c>
      <c r="O15" s="3" t="s">
        <v>37</v>
      </c>
      <c r="P15" s="3"/>
    </row>
    <row r="16" spans="1:16" x14ac:dyDescent="0.25">
      <c r="A16" t="s">
        <v>15</v>
      </c>
      <c r="B16" s="1">
        <v>45992</v>
      </c>
      <c r="C16" s="1">
        <v>46022</v>
      </c>
      <c r="E16" t="s">
        <v>24</v>
      </c>
      <c r="G16">
        <v>1</v>
      </c>
      <c r="H16" s="1">
        <v>45993</v>
      </c>
      <c r="I16" s="1">
        <v>45993</v>
      </c>
      <c r="J16">
        <v>1</v>
      </c>
      <c r="K16">
        <v>1</v>
      </c>
      <c r="L16" t="s">
        <v>48</v>
      </c>
      <c r="M16" s="9" t="s">
        <v>19</v>
      </c>
      <c r="N16" s="3" t="str" cm="1">
        <f t="array" ref="N16">_xlfn.IFS(
OR(ISNUMBER(SEARCH("email",D16)),ISNUMBER(SEARCH("email",F16)),ISNUMBER(SEARCH("polish",D16)),ISNUMBER(SEARCH("rewrite",F16)),ISNUMBER(SEARCH("copy",F16))),"Writing and comms",
OR(ISNUMBER(SEARCH("research",F16)),ISNUMBER(SEARCH("intel",F16)),ISNUMBER(SEARCH("company",D16)),ISNUMBER(SEARCH("digger",D16))),"Research and intel",
OR(ISNUMBER(SEARCH("prompt",D16)),ISNUMBER(SEARCH("prompt",F16))),"Prompting help",
OR(ISNUMBER(SEARCH("role",D16)),ISNUMBER(SEARCH("scorecard",F16)),ISNUMBER(SEARCH("competenc",F16))),"Role and leadership advisory",
OR(ISNUMBER(SEARCH("meeting",F16)),ISNUMBER(SEARCH("notes",F16)),ISNUMBER(SEARCH("summary",F16))),"Meeting notes and summarization",
TRUE,"Other or fragmented"
)</f>
        <v>Other or fragmented</v>
      </c>
      <c r="O16" s="3" t="s">
        <v>37</v>
      </c>
      <c r="P16" s="3"/>
    </row>
    <row r="17" spans="1:16" x14ac:dyDescent="0.25">
      <c r="A17" t="s">
        <v>15</v>
      </c>
      <c r="B17" s="1">
        <v>45992</v>
      </c>
      <c r="C17" s="1">
        <v>46022</v>
      </c>
      <c r="D17" t="s">
        <v>49</v>
      </c>
      <c r="E17" t="s">
        <v>17</v>
      </c>
      <c r="F17" t="s">
        <v>50</v>
      </c>
      <c r="G17">
        <v>1</v>
      </c>
      <c r="H17" s="1">
        <v>46009</v>
      </c>
      <c r="I17" s="1">
        <v>46009</v>
      </c>
      <c r="J17">
        <v>4</v>
      </c>
      <c r="K17">
        <v>1</v>
      </c>
      <c r="L17" t="s">
        <v>48</v>
      </c>
      <c r="M17" s="10" t="s">
        <v>19</v>
      </c>
      <c r="N17" s="3" t="str" cm="1">
        <f t="array" ref="N17">_xlfn.IFS(
OR(ISNUMBER(SEARCH("email",D17)),ISNUMBER(SEARCH("email",F17)),ISNUMBER(SEARCH("polish",D17)),ISNUMBER(SEARCH("rewrite",F17)),ISNUMBER(SEARCH("copy",F17))),"Writing and comms",
OR(ISNUMBER(SEARCH("research",F17)),ISNUMBER(SEARCH("intel",F17)),ISNUMBER(SEARCH("company",D17)),ISNUMBER(SEARCH("digger",D17))),"Research and intel",
OR(ISNUMBER(SEARCH("prompt",D17)),ISNUMBER(SEARCH("prompt",F17))),"Prompting help",
OR(ISNUMBER(SEARCH("role",D17)),ISNUMBER(SEARCH("scorecard",F17)),ISNUMBER(SEARCH("competenc",F17))),"Role and leadership advisory",
OR(ISNUMBER(SEARCH("meeting",F17)),ISNUMBER(SEARCH("notes",F17)),ISNUMBER(SEARCH("summary",F17))),"Meeting notes and summarization",
TRUE,"Other or fragmented"
)</f>
        <v>Other or fragmented</v>
      </c>
      <c r="O17" s="3" t="s">
        <v>37</v>
      </c>
      <c r="P17" s="3"/>
    </row>
    <row r="18" spans="1:16" x14ac:dyDescent="0.25">
      <c r="A18" t="s">
        <v>15</v>
      </c>
      <c r="B18" s="1">
        <v>45992</v>
      </c>
      <c r="C18" s="1">
        <v>46022</v>
      </c>
      <c r="D18" t="s">
        <v>51</v>
      </c>
      <c r="E18" t="s">
        <v>17</v>
      </c>
      <c r="F18" t="s">
        <v>52</v>
      </c>
      <c r="G18">
        <v>1</v>
      </c>
      <c r="H18" s="1">
        <v>45992</v>
      </c>
      <c r="I18" s="1">
        <v>46009</v>
      </c>
      <c r="J18">
        <v>30</v>
      </c>
      <c r="K18">
        <v>1</v>
      </c>
      <c r="L18" t="s">
        <v>48</v>
      </c>
      <c r="M18" s="9" t="s">
        <v>19</v>
      </c>
      <c r="N18" s="3" t="str" cm="1">
        <f t="array" ref="N18">_xlfn.IFS(
OR(ISNUMBER(SEARCH("email",D18)),ISNUMBER(SEARCH("email",F18)),ISNUMBER(SEARCH("polish",D18)),ISNUMBER(SEARCH("rewrite",F18)),ISNUMBER(SEARCH("copy",F18))),"Writing and comms",
OR(ISNUMBER(SEARCH("research",F18)),ISNUMBER(SEARCH("intel",F18)),ISNUMBER(SEARCH("company",D18)),ISNUMBER(SEARCH("digger",D18))),"Research and intel",
OR(ISNUMBER(SEARCH("prompt",D18)),ISNUMBER(SEARCH("prompt",F18))),"Prompting help",
OR(ISNUMBER(SEARCH("role",D18)),ISNUMBER(SEARCH("scorecard",F18)),ISNUMBER(SEARCH("competenc",F18))),"Role and leadership advisory",
OR(ISNUMBER(SEARCH("meeting",F18)),ISNUMBER(SEARCH("notes",F18)),ISNUMBER(SEARCH("summary",F18))),"Meeting notes and summarization",
TRUE,"Other or fragmented"
)</f>
        <v>Other or fragmented</v>
      </c>
      <c r="O18" s="3" t="s">
        <v>37</v>
      </c>
      <c r="P18" s="3"/>
    </row>
    <row r="19" spans="1:16" x14ac:dyDescent="0.25">
      <c r="A19" t="s">
        <v>15</v>
      </c>
      <c r="B19" s="1">
        <v>45992</v>
      </c>
      <c r="C19" s="1">
        <v>46022</v>
      </c>
      <c r="E19" t="s">
        <v>24</v>
      </c>
      <c r="G19">
        <v>0</v>
      </c>
      <c r="J19">
        <v>0</v>
      </c>
      <c r="K19">
        <v>0</v>
      </c>
      <c r="L19" t="s">
        <v>48</v>
      </c>
      <c r="M19" s="10" t="s">
        <v>19</v>
      </c>
      <c r="N19" s="3" t="str" cm="1">
        <f t="array" ref="N19">_xlfn.IFS(
OR(ISNUMBER(SEARCH("email",D19)),ISNUMBER(SEARCH("email",F19)),ISNUMBER(SEARCH("polish",D19)),ISNUMBER(SEARCH("rewrite",F19)),ISNUMBER(SEARCH("copy",F19))),"Writing and comms",
OR(ISNUMBER(SEARCH("research",F19)),ISNUMBER(SEARCH("intel",F19)),ISNUMBER(SEARCH("company",D19)),ISNUMBER(SEARCH("digger",D19))),"Research and intel",
OR(ISNUMBER(SEARCH("prompt",D19)),ISNUMBER(SEARCH("prompt",F19))),"Prompting help",
OR(ISNUMBER(SEARCH("role",D19)),ISNUMBER(SEARCH("scorecard",F19)),ISNUMBER(SEARCH("competenc",F19))),"Role and leadership advisory",
OR(ISNUMBER(SEARCH("meeting",F19)),ISNUMBER(SEARCH("notes",F19)),ISNUMBER(SEARCH("summary",F19))),"Meeting notes and summarization",
TRUE,"Other or fragmented"
)</f>
        <v>Other or fragmented</v>
      </c>
      <c r="O19" s="3" t="s">
        <v>37</v>
      </c>
      <c r="P19" s="3"/>
    </row>
    <row r="20" spans="1:16" x14ac:dyDescent="0.25">
      <c r="A20" t="s">
        <v>15</v>
      </c>
      <c r="B20" s="1">
        <v>45992</v>
      </c>
      <c r="C20" s="1">
        <v>46022</v>
      </c>
      <c r="E20" t="s">
        <v>24</v>
      </c>
      <c r="G20">
        <v>0</v>
      </c>
      <c r="J20">
        <v>0</v>
      </c>
      <c r="K20">
        <v>0</v>
      </c>
      <c r="L20" t="s">
        <v>53</v>
      </c>
      <c r="M20" s="9" t="s">
        <v>19</v>
      </c>
      <c r="N20" s="3" t="str" cm="1">
        <f t="array" ref="N20">_xlfn.IFS(
OR(ISNUMBER(SEARCH("email",D20)),ISNUMBER(SEARCH("email",F20)),ISNUMBER(SEARCH("polish",D20)),ISNUMBER(SEARCH("rewrite",F20)),ISNUMBER(SEARCH("copy",F20))),"Writing and comms",
OR(ISNUMBER(SEARCH("research",F20)),ISNUMBER(SEARCH("intel",F20)),ISNUMBER(SEARCH("company",D20)),ISNUMBER(SEARCH("digger",D20))),"Research and intel",
OR(ISNUMBER(SEARCH("prompt",D20)),ISNUMBER(SEARCH("prompt",F20))),"Prompting help",
OR(ISNUMBER(SEARCH("role",D20)),ISNUMBER(SEARCH("scorecard",F20)),ISNUMBER(SEARCH("competenc",F20))),"Role and leadership advisory",
OR(ISNUMBER(SEARCH("meeting",F20)),ISNUMBER(SEARCH("notes",F20)),ISNUMBER(SEARCH("summary",F20))),"Meeting notes and summarization",
TRUE,"Other or fragmented"
)</f>
        <v>Other or fragmented</v>
      </c>
      <c r="O20" s="3" t="s">
        <v>37</v>
      </c>
      <c r="P20" s="3"/>
    </row>
    <row r="21" spans="1:16" x14ac:dyDescent="0.25">
      <c r="A21" t="s">
        <v>15</v>
      </c>
      <c r="B21" s="1">
        <v>45992</v>
      </c>
      <c r="C21" s="1">
        <v>46022</v>
      </c>
      <c r="D21" t="s">
        <v>54</v>
      </c>
      <c r="E21" t="s">
        <v>24</v>
      </c>
      <c r="F21" t="s">
        <v>55</v>
      </c>
      <c r="G21">
        <v>0</v>
      </c>
      <c r="J21">
        <v>0</v>
      </c>
      <c r="K21">
        <v>0</v>
      </c>
      <c r="L21" t="s">
        <v>53</v>
      </c>
      <c r="M21" s="10" t="s">
        <v>19</v>
      </c>
      <c r="N21" s="3" t="str" cm="1">
        <f t="array" ref="N21">_xlfn.IFS(
OR(ISNUMBER(SEARCH("email",D21)),ISNUMBER(SEARCH("email",F21)),ISNUMBER(SEARCH("polish",D21)),ISNUMBER(SEARCH("rewrite",F21)),ISNUMBER(SEARCH("copy",F21))),"Writing and comms",
OR(ISNUMBER(SEARCH("research",F21)),ISNUMBER(SEARCH("intel",F21)),ISNUMBER(SEARCH("company",D21)),ISNUMBER(SEARCH("digger",D21))),"Research and intel",
OR(ISNUMBER(SEARCH("prompt",D21)),ISNUMBER(SEARCH("prompt",F21))),"Prompting help",
OR(ISNUMBER(SEARCH("role",D21)),ISNUMBER(SEARCH("scorecard",F21)),ISNUMBER(SEARCH("competenc",F21))),"Role and leadership advisory",
OR(ISNUMBER(SEARCH("meeting",F21)),ISNUMBER(SEARCH("notes",F21)),ISNUMBER(SEARCH("summary",F21))),"Meeting notes and summarization",
TRUE,"Other or fragmented"
)</f>
        <v>Other or fragmented</v>
      </c>
      <c r="O21" s="3" t="s">
        <v>37</v>
      </c>
      <c r="P21" s="3"/>
    </row>
    <row r="22" spans="1:16" x14ac:dyDescent="0.25">
      <c r="A22" t="s">
        <v>15</v>
      </c>
      <c r="B22" s="1">
        <v>45992</v>
      </c>
      <c r="C22" s="1">
        <v>46022</v>
      </c>
      <c r="D22" t="s">
        <v>56</v>
      </c>
      <c r="E22" t="s">
        <v>24</v>
      </c>
      <c r="F22" t="s">
        <v>57</v>
      </c>
      <c r="G22">
        <v>1</v>
      </c>
      <c r="H22" s="1">
        <v>46001</v>
      </c>
      <c r="I22" s="1">
        <v>46002</v>
      </c>
      <c r="J22">
        <v>6</v>
      </c>
      <c r="K22">
        <v>1</v>
      </c>
      <c r="L22" t="s">
        <v>58</v>
      </c>
      <c r="M22" s="9" t="s">
        <v>19</v>
      </c>
      <c r="N22" s="3" t="str" cm="1">
        <f t="array" ref="N22">_xlfn.IFS(
OR(ISNUMBER(SEARCH("email",D22)),ISNUMBER(SEARCH("email",F22)),ISNUMBER(SEARCH("polish",D22)),ISNUMBER(SEARCH("rewrite",F22)),ISNUMBER(SEARCH("copy",F22))),"Writing and comms",
OR(ISNUMBER(SEARCH("research",F22)),ISNUMBER(SEARCH("intel",F22)),ISNUMBER(SEARCH("company",D22)),ISNUMBER(SEARCH("digger",D22))),"Research and intel",
OR(ISNUMBER(SEARCH("prompt",D22)),ISNUMBER(SEARCH("prompt",F22))),"Prompting help",
OR(ISNUMBER(SEARCH("role",D22)),ISNUMBER(SEARCH("scorecard",F22)),ISNUMBER(SEARCH("competenc",F22))),"Role and leadership advisory",
OR(ISNUMBER(SEARCH("meeting",F22)),ISNUMBER(SEARCH("notes",F22)),ISNUMBER(SEARCH("summary",F22))),"Meeting notes and summarization",
TRUE,"Other or fragmented"
)</f>
        <v>Other or fragmented</v>
      </c>
      <c r="O22" s="3" t="s">
        <v>37</v>
      </c>
      <c r="P22" s="3"/>
    </row>
    <row r="23" spans="1:16" x14ac:dyDescent="0.25">
      <c r="A23" t="s">
        <v>15</v>
      </c>
      <c r="B23" s="1">
        <v>45992</v>
      </c>
      <c r="C23" s="1">
        <v>46022</v>
      </c>
      <c r="E23" t="s">
        <v>24</v>
      </c>
      <c r="G23">
        <v>0</v>
      </c>
      <c r="J23">
        <v>0</v>
      </c>
      <c r="K23">
        <v>0</v>
      </c>
      <c r="L23" t="s">
        <v>60</v>
      </c>
      <c r="M23" s="10" t="s">
        <v>19</v>
      </c>
      <c r="N23" s="3" t="str" cm="1">
        <f t="array" ref="N23">_xlfn.IFS(
OR(ISNUMBER(SEARCH("email",D23)),ISNUMBER(SEARCH("email",F23)),ISNUMBER(SEARCH("polish",D23)),ISNUMBER(SEARCH("rewrite",F23)),ISNUMBER(SEARCH("copy",F23))),"Writing and comms",
OR(ISNUMBER(SEARCH("research",F23)),ISNUMBER(SEARCH("intel",F23)),ISNUMBER(SEARCH("company",D23)),ISNUMBER(SEARCH("digger",D23))),"Research and intel",
OR(ISNUMBER(SEARCH("prompt",D23)),ISNUMBER(SEARCH("prompt",F23))),"Prompting help",
OR(ISNUMBER(SEARCH("role",D23)),ISNUMBER(SEARCH("scorecard",F23)),ISNUMBER(SEARCH("competenc",F23))),"Role and leadership advisory",
OR(ISNUMBER(SEARCH("meeting",F23)),ISNUMBER(SEARCH("notes",F23)),ISNUMBER(SEARCH("summary",F23))),"Meeting notes and summarization",
TRUE,"Other or fragmented"
)</f>
        <v>Other or fragmented</v>
      </c>
      <c r="O23" s="3" t="s">
        <v>37</v>
      </c>
      <c r="P23" s="3"/>
    </row>
    <row r="24" spans="1:16" x14ac:dyDescent="0.25">
      <c r="A24" t="s">
        <v>15</v>
      </c>
      <c r="B24" s="1">
        <v>45992</v>
      </c>
      <c r="C24" s="1">
        <v>46022</v>
      </c>
      <c r="D24" t="s">
        <v>61</v>
      </c>
      <c r="E24" t="s">
        <v>17</v>
      </c>
      <c r="F24" t="s">
        <v>62</v>
      </c>
      <c r="G24">
        <v>1</v>
      </c>
      <c r="H24" s="1">
        <v>46010</v>
      </c>
      <c r="I24" s="1">
        <v>46010</v>
      </c>
      <c r="J24">
        <v>3</v>
      </c>
      <c r="K24">
        <v>1</v>
      </c>
      <c r="L24" t="s">
        <v>63</v>
      </c>
      <c r="M24" s="9" t="s">
        <v>19</v>
      </c>
      <c r="N24" s="3" t="str" cm="1">
        <f t="array" ref="N24">_xlfn.IFS(
OR(ISNUMBER(SEARCH("email",D24)),ISNUMBER(SEARCH("email",F24)),ISNUMBER(SEARCH("polish",D24)),ISNUMBER(SEARCH("rewrite",F24)),ISNUMBER(SEARCH("copy",F24))),"Writing and comms",
OR(ISNUMBER(SEARCH("research",F24)),ISNUMBER(SEARCH("intel",F24)),ISNUMBER(SEARCH("company",D24)),ISNUMBER(SEARCH("digger",D24))),"Research and intel",
OR(ISNUMBER(SEARCH("prompt",D24)),ISNUMBER(SEARCH("prompt",F24))),"Prompting help",
OR(ISNUMBER(SEARCH("role",D24)),ISNUMBER(SEARCH("scorecard",F24)),ISNUMBER(SEARCH("competenc",F24))),"Role and leadership advisory",
OR(ISNUMBER(SEARCH("meeting",F24)),ISNUMBER(SEARCH("notes",F24)),ISNUMBER(SEARCH("summary",F24))),"Meeting notes and summarization",
TRUE,"Other or fragmented"
)</f>
        <v>Other or fragmented</v>
      </c>
      <c r="O24" s="3" t="s">
        <v>37</v>
      </c>
      <c r="P24" s="3"/>
    </row>
    <row r="25" spans="1:16" x14ac:dyDescent="0.25">
      <c r="A25" t="s">
        <v>15</v>
      </c>
      <c r="B25" s="1">
        <v>45992</v>
      </c>
      <c r="C25" s="1">
        <v>46022</v>
      </c>
      <c r="E25" t="s">
        <v>24</v>
      </c>
      <c r="G25">
        <v>0</v>
      </c>
      <c r="J25">
        <v>0</v>
      </c>
      <c r="K25">
        <v>0</v>
      </c>
      <c r="L25" t="s">
        <v>63</v>
      </c>
      <c r="M25" s="10" t="s">
        <v>19</v>
      </c>
      <c r="N25" s="3" t="str" cm="1">
        <f t="array" ref="N25">_xlfn.IFS(
OR(ISNUMBER(SEARCH("email",D25)),ISNUMBER(SEARCH("email",F25)),ISNUMBER(SEARCH("polish",D25)),ISNUMBER(SEARCH("rewrite",F25)),ISNUMBER(SEARCH("copy",F25))),"Writing and comms",
OR(ISNUMBER(SEARCH("research",F25)),ISNUMBER(SEARCH("intel",F25)),ISNUMBER(SEARCH("company",D25)),ISNUMBER(SEARCH("digger",D25))),"Research and intel",
OR(ISNUMBER(SEARCH("prompt",D25)),ISNUMBER(SEARCH("prompt",F25))),"Prompting help",
OR(ISNUMBER(SEARCH("role",D25)),ISNUMBER(SEARCH("scorecard",F25)),ISNUMBER(SEARCH("competenc",F25))),"Role and leadership advisory",
OR(ISNUMBER(SEARCH("meeting",F25)),ISNUMBER(SEARCH("notes",F25)),ISNUMBER(SEARCH("summary",F25))),"Meeting notes and summarization",
TRUE,"Other or fragmented"
)</f>
        <v>Other or fragmented</v>
      </c>
      <c r="O25" s="3" t="s">
        <v>37</v>
      </c>
      <c r="P25" s="3"/>
    </row>
    <row r="26" spans="1:16" x14ac:dyDescent="0.25">
      <c r="A26" t="s">
        <v>15</v>
      </c>
      <c r="B26" s="1">
        <v>45992</v>
      </c>
      <c r="C26" s="1">
        <v>46022</v>
      </c>
      <c r="E26" t="s">
        <v>24</v>
      </c>
      <c r="G26">
        <v>1</v>
      </c>
      <c r="H26" s="1">
        <v>46013</v>
      </c>
      <c r="I26" s="1">
        <v>46013</v>
      </c>
      <c r="J26">
        <v>1</v>
      </c>
      <c r="K26">
        <v>1</v>
      </c>
      <c r="L26" t="s">
        <v>65</v>
      </c>
      <c r="M26" s="9" t="s">
        <v>19</v>
      </c>
      <c r="N26" s="3" t="str" cm="1">
        <f t="array" ref="N26">_xlfn.IFS(
OR(ISNUMBER(SEARCH("email",D26)),ISNUMBER(SEARCH("email",F26)),ISNUMBER(SEARCH("polish",D26)),ISNUMBER(SEARCH("rewrite",F26)),ISNUMBER(SEARCH("copy",F26))),"Writing and comms",
OR(ISNUMBER(SEARCH("research",F26)),ISNUMBER(SEARCH("intel",F26)),ISNUMBER(SEARCH("company",D26)),ISNUMBER(SEARCH("digger",D26))),"Research and intel",
OR(ISNUMBER(SEARCH("prompt",D26)),ISNUMBER(SEARCH("prompt",F26))),"Prompting help",
OR(ISNUMBER(SEARCH("role",D26)),ISNUMBER(SEARCH("scorecard",F26)),ISNUMBER(SEARCH("competenc",F26))),"Role and leadership advisory",
OR(ISNUMBER(SEARCH("meeting",F26)),ISNUMBER(SEARCH("notes",F26)),ISNUMBER(SEARCH("summary",F26))),"Meeting notes and summarization",
TRUE,"Other or fragmented"
)</f>
        <v>Other or fragmented</v>
      </c>
      <c r="O26" s="3" t="s">
        <v>37</v>
      </c>
      <c r="P26" s="3"/>
    </row>
    <row r="27" spans="1:16" x14ac:dyDescent="0.25">
      <c r="A27" t="s">
        <v>15</v>
      </c>
      <c r="B27" s="1">
        <v>45992</v>
      </c>
      <c r="C27" s="1">
        <v>46022</v>
      </c>
      <c r="D27" t="s">
        <v>66</v>
      </c>
      <c r="E27" t="s">
        <v>17</v>
      </c>
      <c r="F27" t="s">
        <v>67</v>
      </c>
      <c r="G27">
        <v>1</v>
      </c>
      <c r="H27" s="1">
        <v>46014</v>
      </c>
      <c r="I27" s="1">
        <v>46014</v>
      </c>
      <c r="J27">
        <v>2</v>
      </c>
      <c r="K27">
        <v>1</v>
      </c>
      <c r="L27" t="s">
        <v>65</v>
      </c>
      <c r="M27" s="10" t="s">
        <v>19</v>
      </c>
      <c r="N27" s="3" t="str" cm="1">
        <f t="array" ref="N27">_xlfn.IFS(
OR(ISNUMBER(SEARCH("email",D27)),ISNUMBER(SEARCH("email",F27)),ISNUMBER(SEARCH("polish",D27)),ISNUMBER(SEARCH("rewrite",F27)),ISNUMBER(SEARCH("copy",F27))),"Writing and comms",
OR(ISNUMBER(SEARCH("research",F27)),ISNUMBER(SEARCH("intel",F27)),ISNUMBER(SEARCH("company",D27)),ISNUMBER(SEARCH("digger",D27))),"Research and intel",
OR(ISNUMBER(SEARCH("prompt",D27)),ISNUMBER(SEARCH("prompt",F27))),"Prompting help",
OR(ISNUMBER(SEARCH("role",D27)),ISNUMBER(SEARCH("scorecard",F27)),ISNUMBER(SEARCH("competenc",F27))),"Role and leadership advisory",
OR(ISNUMBER(SEARCH("meeting",F27)),ISNUMBER(SEARCH("notes",F27)),ISNUMBER(SEARCH("summary",F27))),"Meeting notes and summarization",
TRUE,"Other or fragmented"
)</f>
        <v>Other or fragmented</v>
      </c>
      <c r="O27" s="3" t="s">
        <v>37</v>
      </c>
      <c r="P27" s="3"/>
    </row>
    <row r="28" spans="1:16" x14ac:dyDescent="0.25">
      <c r="A28" t="s">
        <v>15</v>
      </c>
      <c r="B28" s="1">
        <v>45992</v>
      </c>
      <c r="C28" s="1">
        <v>46022</v>
      </c>
      <c r="D28" t="s">
        <v>68</v>
      </c>
      <c r="E28" t="s">
        <v>17</v>
      </c>
      <c r="F28" t="s">
        <v>69</v>
      </c>
      <c r="G28">
        <v>1</v>
      </c>
      <c r="H28" s="1">
        <v>45993</v>
      </c>
      <c r="I28" s="1">
        <v>46007</v>
      </c>
      <c r="J28">
        <v>36</v>
      </c>
      <c r="K28">
        <v>1</v>
      </c>
      <c r="L28" t="s">
        <v>70</v>
      </c>
      <c r="M28" s="9" t="s">
        <v>19</v>
      </c>
      <c r="N28" s="3" t="str" cm="1">
        <f t="array" ref="N28">_xlfn.IFS(
OR(ISNUMBER(SEARCH("email",D28)),ISNUMBER(SEARCH("email",F28)),ISNUMBER(SEARCH("polish",D28)),ISNUMBER(SEARCH("rewrite",F28)),ISNUMBER(SEARCH("copy",F28))),"Writing and comms",
OR(ISNUMBER(SEARCH("research",F28)),ISNUMBER(SEARCH("intel",F28)),ISNUMBER(SEARCH("company",D28)),ISNUMBER(SEARCH("digger",D28))),"Research and intel",
OR(ISNUMBER(SEARCH("prompt",D28)),ISNUMBER(SEARCH("prompt",F28))),"Prompting help",
OR(ISNUMBER(SEARCH("role",D28)),ISNUMBER(SEARCH("scorecard",F28)),ISNUMBER(SEARCH("competenc",F28))),"Role and leadership advisory",
OR(ISNUMBER(SEARCH("meeting",F28)),ISNUMBER(SEARCH("notes",F28)),ISNUMBER(SEARCH("summary",F28))),"Meeting notes and summarization",
TRUE,"Other or fragmented"
)</f>
        <v>Meeting notes and summarization</v>
      </c>
      <c r="O28" s="3" t="s">
        <v>37</v>
      </c>
      <c r="P28" s="3"/>
    </row>
    <row r="29" spans="1:16" x14ac:dyDescent="0.25">
      <c r="A29" t="s">
        <v>15</v>
      </c>
      <c r="B29" s="1">
        <v>45992</v>
      </c>
      <c r="C29" s="1">
        <v>46022</v>
      </c>
      <c r="E29" t="s">
        <v>24</v>
      </c>
      <c r="G29">
        <v>0</v>
      </c>
      <c r="J29">
        <v>0</v>
      </c>
      <c r="K29">
        <v>0</v>
      </c>
      <c r="L29" t="s">
        <v>71</v>
      </c>
      <c r="M29" s="10" t="s">
        <v>19</v>
      </c>
      <c r="N29" s="3" t="str" cm="1">
        <f t="array" ref="N29">_xlfn.IFS(
OR(ISNUMBER(SEARCH("email",D29)),ISNUMBER(SEARCH("email",F29)),ISNUMBER(SEARCH("polish",D29)),ISNUMBER(SEARCH("rewrite",F29)),ISNUMBER(SEARCH("copy",F29))),"Writing and comms",
OR(ISNUMBER(SEARCH("research",F29)),ISNUMBER(SEARCH("intel",F29)),ISNUMBER(SEARCH("company",D29)),ISNUMBER(SEARCH("digger",D29))),"Research and intel",
OR(ISNUMBER(SEARCH("prompt",D29)),ISNUMBER(SEARCH("prompt",F29))),"Prompting help",
OR(ISNUMBER(SEARCH("role",D29)),ISNUMBER(SEARCH("scorecard",F29)),ISNUMBER(SEARCH("competenc",F29))),"Role and leadership advisory",
OR(ISNUMBER(SEARCH("meeting",F29)),ISNUMBER(SEARCH("notes",F29)),ISNUMBER(SEARCH("summary",F29))),"Meeting notes and summarization",
TRUE,"Other or fragmented"
)</f>
        <v>Other or fragmented</v>
      </c>
      <c r="O29" s="3" t="s">
        <v>37</v>
      </c>
      <c r="P29" s="3"/>
    </row>
    <row r="30" spans="1:16" x14ac:dyDescent="0.25">
      <c r="A30" t="s">
        <v>15</v>
      </c>
      <c r="B30" s="1">
        <v>45992</v>
      </c>
      <c r="C30" s="1">
        <v>46022</v>
      </c>
      <c r="D30" t="s">
        <v>72</v>
      </c>
      <c r="E30" t="s">
        <v>17</v>
      </c>
      <c r="F30" t="s">
        <v>73</v>
      </c>
      <c r="G30">
        <v>1</v>
      </c>
      <c r="H30" s="1">
        <v>46013</v>
      </c>
      <c r="I30" s="1">
        <v>46013</v>
      </c>
      <c r="J30">
        <v>5</v>
      </c>
      <c r="K30">
        <v>1</v>
      </c>
      <c r="L30" t="s">
        <v>74</v>
      </c>
      <c r="M30" s="9" t="s">
        <v>19</v>
      </c>
      <c r="N30" s="3" t="str" cm="1">
        <f t="array" ref="N30">_xlfn.IFS(
OR(ISNUMBER(SEARCH("email",D30)),ISNUMBER(SEARCH("email",F30)),ISNUMBER(SEARCH("polish",D30)),ISNUMBER(SEARCH("rewrite",F30)),ISNUMBER(SEARCH("copy",F30))),"Writing and comms",
OR(ISNUMBER(SEARCH("research",F30)),ISNUMBER(SEARCH("intel",F30)),ISNUMBER(SEARCH("company",D30)),ISNUMBER(SEARCH("digger",D30))),"Research and intel",
OR(ISNUMBER(SEARCH("prompt",D30)),ISNUMBER(SEARCH("prompt",F30))),"Prompting help",
OR(ISNUMBER(SEARCH("role",D30)),ISNUMBER(SEARCH("scorecard",F30)),ISNUMBER(SEARCH("competenc",F30))),"Role and leadership advisory",
OR(ISNUMBER(SEARCH("meeting",F30)),ISNUMBER(SEARCH("notes",F30)),ISNUMBER(SEARCH("summary",F30))),"Meeting notes and summarization",
TRUE,"Other or fragmented"
)</f>
        <v>Other or fragmented</v>
      </c>
      <c r="O30" s="3" t="s">
        <v>37</v>
      </c>
      <c r="P30" s="3"/>
    </row>
    <row r="31" spans="1:16" x14ac:dyDescent="0.25">
      <c r="A31" t="s">
        <v>15</v>
      </c>
      <c r="B31" s="1">
        <v>45992</v>
      </c>
      <c r="C31" s="1">
        <v>46022</v>
      </c>
      <c r="D31" t="s">
        <v>75</v>
      </c>
      <c r="E31" t="s">
        <v>17</v>
      </c>
      <c r="F31" t="s">
        <v>76</v>
      </c>
      <c r="G31">
        <v>1</v>
      </c>
      <c r="H31" s="1">
        <v>46001</v>
      </c>
      <c r="I31" s="1">
        <v>46013</v>
      </c>
      <c r="J31">
        <v>24</v>
      </c>
      <c r="K31">
        <v>1</v>
      </c>
      <c r="L31" t="s">
        <v>74</v>
      </c>
      <c r="M31" s="10" t="s">
        <v>19</v>
      </c>
      <c r="N31" s="3" t="str" cm="1">
        <f t="array" ref="N31">_xlfn.IFS(
OR(ISNUMBER(SEARCH("email",D31)),ISNUMBER(SEARCH("email",F31)),ISNUMBER(SEARCH("polish",D31)),ISNUMBER(SEARCH("rewrite",F31)),ISNUMBER(SEARCH("copy",F31))),"Writing and comms",
OR(ISNUMBER(SEARCH("research",F31)),ISNUMBER(SEARCH("intel",F31)),ISNUMBER(SEARCH("company",D31)),ISNUMBER(SEARCH("digger",D31))),"Research and intel",
OR(ISNUMBER(SEARCH("prompt",D31)),ISNUMBER(SEARCH("prompt",F31))),"Prompting help",
OR(ISNUMBER(SEARCH("role",D31)),ISNUMBER(SEARCH("scorecard",F31)),ISNUMBER(SEARCH("competenc",F31))),"Role and leadership advisory",
OR(ISNUMBER(SEARCH("meeting",F31)),ISNUMBER(SEARCH("notes",F31)),ISNUMBER(SEARCH("summary",F31))),"Meeting notes and summarization",
TRUE,"Other or fragmented"
)</f>
        <v>Meeting notes and summarization</v>
      </c>
      <c r="O31" s="3" t="s">
        <v>37</v>
      </c>
      <c r="P31" s="3"/>
    </row>
    <row r="32" spans="1:16" x14ac:dyDescent="0.25">
      <c r="A32" t="s">
        <v>15</v>
      </c>
      <c r="B32" s="1">
        <v>45992</v>
      </c>
      <c r="C32" s="1">
        <v>46022</v>
      </c>
      <c r="D32" t="s">
        <v>77</v>
      </c>
      <c r="E32" t="s">
        <v>17</v>
      </c>
      <c r="F32" t="s">
        <v>78</v>
      </c>
      <c r="G32">
        <v>1</v>
      </c>
      <c r="H32" s="1">
        <v>45994</v>
      </c>
      <c r="I32" s="1">
        <v>46006</v>
      </c>
      <c r="J32">
        <v>30</v>
      </c>
      <c r="K32">
        <v>1</v>
      </c>
      <c r="L32" t="s">
        <v>74</v>
      </c>
      <c r="M32" s="9" t="s">
        <v>19</v>
      </c>
      <c r="N32" s="3" t="str" cm="1">
        <f t="array" ref="N32">_xlfn.IFS(
OR(ISNUMBER(SEARCH("email",D32)),ISNUMBER(SEARCH("email",F32)),ISNUMBER(SEARCH("polish",D32)),ISNUMBER(SEARCH("rewrite",F32)),ISNUMBER(SEARCH("copy",F32))),"Writing and comms",
OR(ISNUMBER(SEARCH("research",F32)),ISNUMBER(SEARCH("intel",F32)),ISNUMBER(SEARCH("company",D32)),ISNUMBER(SEARCH("digger",D32))),"Research and intel",
OR(ISNUMBER(SEARCH("prompt",D32)),ISNUMBER(SEARCH("prompt",F32))),"Prompting help",
OR(ISNUMBER(SEARCH("role",D32)),ISNUMBER(SEARCH("scorecard",F32)),ISNUMBER(SEARCH("competenc",F32))),"Role and leadership advisory",
OR(ISNUMBER(SEARCH("meeting",F32)),ISNUMBER(SEARCH("notes",F32)),ISNUMBER(SEARCH("summary",F32))),"Meeting notes and summarization",
TRUE,"Other or fragmented"
)</f>
        <v>Other or fragmented</v>
      </c>
      <c r="O32" s="3" t="s">
        <v>37</v>
      </c>
      <c r="P32" s="3"/>
    </row>
    <row r="33" spans="1:16" x14ac:dyDescent="0.25">
      <c r="A33" t="s">
        <v>15</v>
      </c>
      <c r="B33" s="1">
        <v>45992</v>
      </c>
      <c r="C33" s="1">
        <v>46022</v>
      </c>
      <c r="D33" t="s">
        <v>79</v>
      </c>
      <c r="E33" t="s">
        <v>17</v>
      </c>
      <c r="F33" t="s">
        <v>80</v>
      </c>
      <c r="G33">
        <v>1</v>
      </c>
      <c r="H33" s="1">
        <v>45994</v>
      </c>
      <c r="I33" s="1">
        <v>46008</v>
      </c>
      <c r="J33">
        <v>71</v>
      </c>
      <c r="K33">
        <v>1</v>
      </c>
      <c r="L33" t="s">
        <v>74</v>
      </c>
      <c r="M33" s="10" t="s">
        <v>19</v>
      </c>
      <c r="N33" s="3" t="str" cm="1">
        <f t="array" ref="N33">_xlfn.IFS(
OR(ISNUMBER(SEARCH("email",D33)),ISNUMBER(SEARCH("email",F33)),ISNUMBER(SEARCH("polish",D33)),ISNUMBER(SEARCH("rewrite",F33)),ISNUMBER(SEARCH("copy",F33))),"Writing and comms",
OR(ISNUMBER(SEARCH("research",F33)),ISNUMBER(SEARCH("intel",F33)),ISNUMBER(SEARCH("company",D33)),ISNUMBER(SEARCH("digger",D33))),"Research and intel",
OR(ISNUMBER(SEARCH("prompt",D33)),ISNUMBER(SEARCH("prompt",F33))),"Prompting help",
OR(ISNUMBER(SEARCH("role",D33)),ISNUMBER(SEARCH("scorecard",F33)),ISNUMBER(SEARCH("competenc",F33))),"Role and leadership advisory",
OR(ISNUMBER(SEARCH("meeting",F33)),ISNUMBER(SEARCH("notes",F33)),ISNUMBER(SEARCH("summary",F33))),"Meeting notes and summarization",
TRUE,"Other or fragmented"
)</f>
        <v>Other or fragmented</v>
      </c>
      <c r="O33" s="3" t="s">
        <v>37</v>
      </c>
      <c r="P33" s="3"/>
    </row>
    <row r="34" spans="1:16" x14ac:dyDescent="0.25">
      <c r="A34" t="s">
        <v>15</v>
      </c>
      <c r="B34" s="1">
        <v>45992</v>
      </c>
      <c r="C34" s="1">
        <v>46022</v>
      </c>
      <c r="D34" t="s">
        <v>79</v>
      </c>
      <c r="E34" t="s">
        <v>24</v>
      </c>
      <c r="F34" t="s">
        <v>81</v>
      </c>
      <c r="G34">
        <v>0</v>
      </c>
      <c r="J34">
        <v>0</v>
      </c>
      <c r="K34">
        <v>0</v>
      </c>
      <c r="L34" t="s">
        <v>74</v>
      </c>
      <c r="M34" s="9" t="s">
        <v>19</v>
      </c>
      <c r="N34" s="3" t="str" cm="1">
        <f t="array" ref="N34">_xlfn.IFS(
OR(ISNUMBER(SEARCH("email",D34)),ISNUMBER(SEARCH("email",F34)),ISNUMBER(SEARCH("polish",D34)),ISNUMBER(SEARCH("rewrite",F34)),ISNUMBER(SEARCH("copy",F34))),"Writing and comms",
OR(ISNUMBER(SEARCH("research",F34)),ISNUMBER(SEARCH("intel",F34)),ISNUMBER(SEARCH("company",D34)),ISNUMBER(SEARCH("digger",D34))),"Research and intel",
OR(ISNUMBER(SEARCH("prompt",D34)),ISNUMBER(SEARCH("prompt",F34))),"Prompting help",
OR(ISNUMBER(SEARCH("role",D34)),ISNUMBER(SEARCH("scorecard",F34)),ISNUMBER(SEARCH("competenc",F34))),"Role and leadership advisory",
OR(ISNUMBER(SEARCH("meeting",F34)),ISNUMBER(SEARCH("notes",F34)),ISNUMBER(SEARCH("summary",F34))),"Meeting notes and summarization",
TRUE,"Other or fragmented"
)</f>
        <v>Other or fragmented</v>
      </c>
      <c r="O34" s="3" t="s">
        <v>37</v>
      </c>
      <c r="P34" s="3"/>
    </row>
    <row r="35" spans="1:16" x14ac:dyDescent="0.25">
      <c r="A35" t="s">
        <v>15</v>
      </c>
      <c r="B35" s="1">
        <v>45992</v>
      </c>
      <c r="C35" s="1">
        <v>46022</v>
      </c>
      <c r="D35" t="s">
        <v>82</v>
      </c>
      <c r="E35" t="s">
        <v>24</v>
      </c>
      <c r="G35">
        <v>0</v>
      </c>
      <c r="J35">
        <v>0</v>
      </c>
      <c r="K35">
        <v>0</v>
      </c>
      <c r="L35" t="s">
        <v>74</v>
      </c>
      <c r="M35" s="10" t="s">
        <v>19</v>
      </c>
      <c r="N35" s="3" t="str" cm="1">
        <f t="array" ref="N35">_xlfn.IFS(
OR(ISNUMBER(SEARCH("email",D35)),ISNUMBER(SEARCH("email",F35)),ISNUMBER(SEARCH("polish",D35)),ISNUMBER(SEARCH("rewrite",F35)),ISNUMBER(SEARCH("copy",F35))),"Writing and comms",
OR(ISNUMBER(SEARCH("research",F35)),ISNUMBER(SEARCH("intel",F35)),ISNUMBER(SEARCH("company",D35)),ISNUMBER(SEARCH("digger",D35))),"Research and intel",
OR(ISNUMBER(SEARCH("prompt",D35)),ISNUMBER(SEARCH("prompt",F35))),"Prompting help",
OR(ISNUMBER(SEARCH("role",D35)),ISNUMBER(SEARCH("scorecard",F35)),ISNUMBER(SEARCH("competenc",F35))),"Role and leadership advisory",
OR(ISNUMBER(SEARCH("meeting",F35)),ISNUMBER(SEARCH("notes",F35)),ISNUMBER(SEARCH("summary",F35))),"Meeting notes and summarization",
TRUE,"Other or fragmented"
)</f>
        <v>Other or fragmented</v>
      </c>
      <c r="O35" s="3" t="s">
        <v>37</v>
      </c>
      <c r="P35" s="3"/>
    </row>
    <row r="36" spans="1:16" x14ac:dyDescent="0.25">
      <c r="A36" t="s">
        <v>15</v>
      </c>
      <c r="B36" s="1">
        <v>45992</v>
      </c>
      <c r="C36" s="1">
        <v>46022</v>
      </c>
      <c r="E36" t="s">
        <v>24</v>
      </c>
      <c r="G36">
        <v>0</v>
      </c>
      <c r="J36">
        <v>0</v>
      </c>
      <c r="K36">
        <v>0</v>
      </c>
      <c r="L36" t="s">
        <v>74</v>
      </c>
      <c r="M36" s="9" t="s">
        <v>19</v>
      </c>
      <c r="N36" s="3" t="str" cm="1">
        <f t="array" ref="N36">_xlfn.IFS(
OR(ISNUMBER(SEARCH("email",D36)),ISNUMBER(SEARCH("email",F36)),ISNUMBER(SEARCH("polish",D36)),ISNUMBER(SEARCH("rewrite",F36)),ISNUMBER(SEARCH("copy",F36))),"Writing and comms",
OR(ISNUMBER(SEARCH("research",F36)),ISNUMBER(SEARCH("intel",F36)),ISNUMBER(SEARCH("company",D36)),ISNUMBER(SEARCH("digger",D36))),"Research and intel",
OR(ISNUMBER(SEARCH("prompt",D36)),ISNUMBER(SEARCH("prompt",F36))),"Prompting help",
OR(ISNUMBER(SEARCH("role",D36)),ISNUMBER(SEARCH("scorecard",F36)),ISNUMBER(SEARCH("competenc",F36))),"Role and leadership advisory",
OR(ISNUMBER(SEARCH("meeting",F36)),ISNUMBER(SEARCH("notes",F36)),ISNUMBER(SEARCH("summary",F36))),"Meeting notes and summarization",
TRUE,"Other or fragmented"
)</f>
        <v>Other or fragmented</v>
      </c>
      <c r="O36" s="3" t="s">
        <v>37</v>
      </c>
      <c r="P36" s="3"/>
    </row>
    <row r="37" spans="1:16" x14ac:dyDescent="0.25">
      <c r="A37" t="s">
        <v>15</v>
      </c>
      <c r="B37" s="1">
        <v>45992</v>
      </c>
      <c r="C37" s="1">
        <v>46022</v>
      </c>
      <c r="E37" t="s">
        <v>24</v>
      </c>
      <c r="G37">
        <v>0</v>
      </c>
      <c r="J37">
        <v>0</v>
      </c>
      <c r="K37">
        <v>0</v>
      </c>
      <c r="L37" t="s">
        <v>74</v>
      </c>
      <c r="M37" s="10" t="s">
        <v>19</v>
      </c>
      <c r="N37" s="3" t="str" cm="1">
        <f t="array" ref="N37">_xlfn.IFS(
OR(ISNUMBER(SEARCH("email",D37)),ISNUMBER(SEARCH("email",F37)),ISNUMBER(SEARCH("polish",D37)),ISNUMBER(SEARCH("rewrite",F37)),ISNUMBER(SEARCH("copy",F37))),"Writing and comms",
OR(ISNUMBER(SEARCH("research",F37)),ISNUMBER(SEARCH("intel",F37)),ISNUMBER(SEARCH("company",D37)),ISNUMBER(SEARCH("digger",D37))),"Research and intel",
OR(ISNUMBER(SEARCH("prompt",D37)),ISNUMBER(SEARCH("prompt",F37))),"Prompting help",
OR(ISNUMBER(SEARCH("role",D37)),ISNUMBER(SEARCH("scorecard",F37)),ISNUMBER(SEARCH("competenc",F37))),"Role and leadership advisory",
OR(ISNUMBER(SEARCH("meeting",F37)),ISNUMBER(SEARCH("notes",F37)),ISNUMBER(SEARCH("summary",F37))),"Meeting notes and summarization",
TRUE,"Other or fragmented"
)</f>
        <v>Other or fragmented</v>
      </c>
      <c r="O37" s="3" t="s">
        <v>29</v>
      </c>
      <c r="P37" s="3"/>
    </row>
    <row r="38" spans="1:16" x14ac:dyDescent="0.25">
      <c r="A38" t="s">
        <v>15</v>
      </c>
      <c r="B38" s="1">
        <v>45992</v>
      </c>
      <c r="C38" s="1">
        <v>46022</v>
      </c>
      <c r="E38" t="s">
        <v>24</v>
      </c>
      <c r="G38">
        <v>0</v>
      </c>
      <c r="J38">
        <v>0</v>
      </c>
      <c r="K38">
        <v>0</v>
      </c>
      <c r="L38" t="s">
        <v>83</v>
      </c>
      <c r="M38" s="9" t="s">
        <v>19</v>
      </c>
      <c r="N38" s="3" t="str" cm="1">
        <f t="array" ref="N38">_xlfn.IFS(
OR(ISNUMBER(SEARCH("email",D38)),ISNUMBER(SEARCH("email",F38)),ISNUMBER(SEARCH("polish",D38)),ISNUMBER(SEARCH("rewrite",F38)),ISNUMBER(SEARCH("copy",F38))),"Writing and comms",
OR(ISNUMBER(SEARCH("research",F38)),ISNUMBER(SEARCH("intel",F38)),ISNUMBER(SEARCH("company",D38)),ISNUMBER(SEARCH("digger",D38))),"Research and intel",
OR(ISNUMBER(SEARCH("prompt",D38)),ISNUMBER(SEARCH("prompt",F38))),"Prompting help",
OR(ISNUMBER(SEARCH("role",D38)),ISNUMBER(SEARCH("scorecard",F38)),ISNUMBER(SEARCH("competenc",F38))),"Role and leadership advisory",
OR(ISNUMBER(SEARCH("meeting",F38)),ISNUMBER(SEARCH("notes",F38)),ISNUMBER(SEARCH("summary",F38))),"Meeting notes and summarization",
TRUE,"Other or fragmented"
)</f>
        <v>Other or fragmented</v>
      </c>
      <c r="O38" s="3" t="s">
        <v>29</v>
      </c>
      <c r="P38" s="3"/>
    </row>
    <row r="39" spans="1:16" x14ac:dyDescent="0.25">
      <c r="A39" t="s">
        <v>15</v>
      </c>
      <c r="B39" s="1">
        <v>45992</v>
      </c>
      <c r="C39" s="1">
        <v>46022</v>
      </c>
      <c r="E39" t="s">
        <v>24</v>
      </c>
      <c r="G39">
        <v>0</v>
      </c>
      <c r="J39">
        <v>0</v>
      </c>
      <c r="K39">
        <v>0</v>
      </c>
      <c r="L39" t="s">
        <v>84</v>
      </c>
      <c r="M39" s="10" t="s">
        <v>19</v>
      </c>
      <c r="N39" s="3" t="str" cm="1">
        <f t="array" ref="N39">_xlfn.IFS(
OR(ISNUMBER(SEARCH("email",D39)),ISNUMBER(SEARCH("email",F39)),ISNUMBER(SEARCH("polish",D39)),ISNUMBER(SEARCH("rewrite",F39)),ISNUMBER(SEARCH("copy",F39))),"Writing and comms",
OR(ISNUMBER(SEARCH("research",F39)),ISNUMBER(SEARCH("intel",F39)),ISNUMBER(SEARCH("company",D39)),ISNUMBER(SEARCH("digger",D39))),"Research and intel",
OR(ISNUMBER(SEARCH("prompt",D39)),ISNUMBER(SEARCH("prompt",F39))),"Prompting help",
OR(ISNUMBER(SEARCH("role",D39)),ISNUMBER(SEARCH("scorecard",F39)),ISNUMBER(SEARCH("competenc",F39))),"Role and leadership advisory",
OR(ISNUMBER(SEARCH("meeting",F39)),ISNUMBER(SEARCH("notes",F39)),ISNUMBER(SEARCH("summary",F39))),"Meeting notes and summarization",
TRUE,"Other or fragmented"
)</f>
        <v>Other or fragmented</v>
      </c>
      <c r="O39" s="3" t="s">
        <v>29</v>
      </c>
      <c r="P39" s="3"/>
    </row>
    <row r="40" spans="1:16" x14ac:dyDescent="0.25">
      <c r="A40" t="s">
        <v>15</v>
      </c>
      <c r="B40" s="1">
        <v>45992</v>
      </c>
      <c r="C40" s="1">
        <v>46022</v>
      </c>
      <c r="E40" t="s">
        <v>24</v>
      </c>
      <c r="G40">
        <v>0</v>
      </c>
      <c r="J40">
        <v>0</v>
      </c>
      <c r="K40">
        <v>0</v>
      </c>
      <c r="L40" t="s">
        <v>84</v>
      </c>
      <c r="M40" s="9" t="s">
        <v>19</v>
      </c>
      <c r="N40" s="3" t="str" cm="1">
        <f t="array" ref="N40">_xlfn.IFS(
OR(ISNUMBER(SEARCH("email",D40)),ISNUMBER(SEARCH("email",F40)),ISNUMBER(SEARCH("polish",D40)),ISNUMBER(SEARCH("rewrite",F40)),ISNUMBER(SEARCH("copy",F40))),"Writing and comms",
OR(ISNUMBER(SEARCH("research",F40)),ISNUMBER(SEARCH("intel",F40)),ISNUMBER(SEARCH("company",D40)),ISNUMBER(SEARCH("digger",D40))),"Research and intel",
OR(ISNUMBER(SEARCH("prompt",D40)),ISNUMBER(SEARCH("prompt",F40))),"Prompting help",
OR(ISNUMBER(SEARCH("role",D40)),ISNUMBER(SEARCH("scorecard",F40)),ISNUMBER(SEARCH("competenc",F40))),"Role and leadership advisory",
OR(ISNUMBER(SEARCH("meeting",F40)),ISNUMBER(SEARCH("notes",F40)),ISNUMBER(SEARCH("summary",F40))),"Meeting notes and summarization",
TRUE,"Other or fragmented"
)</f>
        <v>Other or fragmented</v>
      </c>
      <c r="O40" s="3" t="s">
        <v>29</v>
      </c>
      <c r="P40" s="3"/>
    </row>
    <row r="41" spans="1:16" x14ac:dyDescent="0.25">
      <c r="A41" t="s">
        <v>15</v>
      </c>
      <c r="B41" s="1">
        <v>45992</v>
      </c>
      <c r="C41" s="1">
        <v>46022</v>
      </c>
      <c r="D41" t="s">
        <v>85</v>
      </c>
      <c r="E41" t="s">
        <v>17</v>
      </c>
      <c r="F41" t="s">
        <v>86</v>
      </c>
      <c r="G41">
        <v>1</v>
      </c>
      <c r="H41" s="1">
        <v>45992</v>
      </c>
      <c r="I41" s="1">
        <v>46021</v>
      </c>
      <c r="J41">
        <v>636</v>
      </c>
      <c r="K41">
        <v>77</v>
      </c>
      <c r="L41" t="s">
        <v>87</v>
      </c>
      <c r="M41" s="10" t="s">
        <v>19</v>
      </c>
      <c r="N41" s="3" t="str" cm="1">
        <f t="array" ref="N41">_xlfn.IFS(
OR(ISNUMBER(SEARCH("email",D41)),ISNUMBER(SEARCH("email",F41)),ISNUMBER(SEARCH("polish",D41)),ISNUMBER(SEARCH("rewrite",F41)),ISNUMBER(SEARCH("copy",F41))),"Writing and comms",
OR(ISNUMBER(SEARCH("research",F41)),ISNUMBER(SEARCH("intel",F41)),ISNUMBER(SEARCH("company",D41)),ISNUMBER(SEARCH("digger",D41))),"Research and intel",
OR(ISNUMBER(SEARCH("prompt",D41)),ISNUMBER(SEARCH("prompt",F41))),"Prompting help",
OR(ISNUMBER(SEARCH("role",D41)),ISNUMBER(SEARCH("scorecard",F41)),ISNUMBER(SEARCH("competenc",F41))),"Role and leadership advisory",
OR(ISNUMBER(SEARCH("meeting",F41)),ISNUMBER(SEARCH("notes",F41)),ISNUMBER(SEARCH("summary",F41))),"Meeting notes and summarization",
TRUE,"Other or fragmented"
)</f>
        <v>Prompting help</v>
      </c>
      <c r="O41" s="3" t="s">
        <v>29</v>
      </c>
      <c r="P41" s="3"/>
    </row>
    <row r="42" spans="1:16" x14ac:dyDescent="0.25">
      <c r="A42" t="s">
        <v>15</v>
      </c>
      <c r="B42" s="1">
        <v>45992</v>
      </c>
      <c r="C42" s="1">
        <v>46022</v>
      </c>
      <c r="D42" t="s">
        <v>88</v>
      </c>
      <c r="E42" t="s">
        <v>24</v>
      </c>
      <c r="F42" t="s">
        <v>89</v>
      </c>
      <c r="G42">
        <v>0</v>
      </c>
      <c r="J42">
        <v>0</v>
      </c>
      <c r="K42">
        <v>0</v>
      </c>
      <c r="L42" t="s">
        <v>87</v>
      </c>
      <c r="M42" s="9" t="s">
        <v>19</v>
      </c>
      <c r="N42" s="3" t="str" cm="1">
        <f t="array" ref="N42">_xlfn.IFS(
OR(ISNUMBER(SEARCH("email",D42)),ISNUMBER(SEARCH("email",F42)),ISNUMBER(SEARCH("polish",D42)),ISNUMBER(SEARCH("rewrite",F42)),ISNUMBER(SEARCH("copy",F42))),"Writing and comms",
OR(ISNUMBER(SEARCH("research",F42)),ISNUMBER(SEARCH("intel",F42)),ISNUMBER(SEARCH("company",D42)),ISNUMBER(SEARCH("digger",D42))),"Research and intel",
OR(ISNUMBER(SEARCH("prompt",D42)),ISNUMBER(SEARCH("prompt",F42))),"Prompting help",
OR(ISNUMBER(SEARCH("role",D42)),ISNUMBER(SEARCH("scorecard",F42)),ISNUMBER(SEARCH("competenc",F42))),"Role and leadership advisory",
OR(ISNUMBER(SEARCH("meeting",F42)),ISNUMBER(SEARCH("notes",F42)),ISNUMBER(SEARCH("summary",F42))),"Meeting notes and summarization",
TRUE,"Other or fragmented"
)</f>
        <v>Other or fragmented</v>
      </c>
      <c r="O42" s="3" t="s">
        <v>29</v>
      </c>
      <c r="P42" s="3"/>
    </row>
    <row r="43" spans="1:16" x14ac:dyDescent="0.25">
      <c r="A43" t="s">
        <v>15</v>
      </c>
      <c r="B43" s="1">
        <v>45992</v>
      </c>
      <c r="C43" s="1">
        <v>46022</v>
      </c>
      <c r="E43" t="s">
        <v>24</v>
      </c>
      <c r="G43">
        <v>0</v>
      </c>
      <c r="J43">
        <v>0</v>
      </c>
      <c r="K43">
        <v>0</v>
      </c>
      <c r="L43" t="s">
        <v>87</v>
      </c>
      <c r="M43" s="10" t="s">
        <v>19</v>
      </c>
      <c r="N43" s="3" t="str" cm="1">
        <f t="array" ref="N43">_xlfn.IFS(
OR(ISNUMBER(SEARCH("email",D43)),ISNUMBER(SEARCH("email",F43)),ISNUMBER(SEARCH("polish",D43)),ISNUMBER(SEARCH("rewrite",F43)),ISNUMBER(SEARCH("copy",F43))),"Writing and comms",
OR(ISNUMBER(SEARCH("research",F43)),ISNUMBER(SEARCH("intel",F43)),ISNUMBER(SEARCH("company",D43)),ISNUMBER(SEARCH("digger",D43))),"Research and intel",
OR(ISNUMBER(SEARCH("prompt",D43)),ISNUMBER(SEARCH("prompt",F43))),"Prompting help",
OR(ISNUMBER(SEARCH("role",D43)),ISNUMBER(SEARCH("scorecard",F43)),ISNUMBER(SEARCH("competenc",F43))),"Role and leadership advisory",
OR(ISNUMBER(SEARCH("meeting",F43)),ISNUMBER(SEARCH("notes",F43)),ISNUMBER(SEARCH("summary",F43))),"Meeting notes and summarization",
TRUE,"Other or fragmented"
)</f>
        <v>Other or fragmented</v>
      </c>
      <c r="O43" s="3" t="s">
        <v>29</v>
      </c>
      <c r="P43" s="3"/>
    </row>
    <row r="44" spans="1:16" x14ac:dyDescent="0.25">
      <c r="A44" t="s">
        <v>15</v>
      </c>
      <c r="B44" s="1">
        <v>45992</v>
      </c>
      <c r="C44" s="1">
        <v>46022</v>
      </c>
      <c r="E44" t="s">
        <v>24</v>
      </c>
      <c r="G44">
        <v>0</v>
      </c>
      <c r="J44">
        <v>0</v>
      </c>
      <c r="K44">
        <v>0</v>
      </c>
      <c r="L44" t="s">
        <v>87</v>
      </c>
      <c r="M44" s="9" t="s">
        <v>19</v>
      </c>
      <c r="N44" s="3" t="str" cm="1">
        <f t="array" ref="N44">_xlfn.IFS(
OR(ISNUMBER(SEARCH("email",D44)),ISNUMBER(SEARCH("email",F44)),ISNUMBER(SEARCH("polish",D44)),ISNUMBER(SEARCH("rewrite",F44)),ISNUMBER(SEARCH("copy",F44))),"Writing and comms",
OR(ISNUMBER(SEARCH("research",F44)),ISNUMBER(SEARCH("intel",F44)),ISNUMBER(SEARCH("company",D44)),ISNUMBER(SEARCH("digger",D44))),"Research and intel",
OR(ISNUMBER(SEARCH("prompt",D44)),ISNUMBER(SEARCH("prompt",F44))),"Prompting help",
OR(ISNUMBER(SEARCH("role",D44)),ISNUMBER(SEARCH("scorecard",F44)),ISNUMBER(SEARCH("competenc",F44))),"Role and leadership advisory",
OR(ISNUMBER(SEARCH("meeting",F44)),ISNUMBER(SEARCH("notes",F44)),ISNUMBER(SEARCH("summary",F44))),"Meeting notes and summarization",
TRUE,"Other or fragmented"
)</f>
        <v>Other or fragmented</v>
      </c>
      <c r="O44" s="3" t="s">
        <v>29</v>
      </c>
      <c r="P44" s="3"/>
    </row>
    <row r="45" spans="1:16" x14ac:dyDescent="0.25">
      <c r="A45" t="s">
        <v>15</v>
      </c>
      <c r="B45" s="1">
        <v>45992</v>
      </c>
      <c r="C45" s="1">
        <v>46022</v>
      </c>
      <c r="E45" t="s">
        <v>24</v>
      </c>
      <c r="G45">
        <v>0</v>
      </c>
      <c r="J45">
        <v>0</v>
      </c>
      <c r="K45">
        <v>0</v>
      </c>
      <c r="L45" t="s">
        <v>87</v>
      </c>
      <c r="M45" s="10" t="s">
        <v>19</v>
      </c>
      <c r="N45" s="3" t="str" cm="1">
        <f t="array" ref="N45">_xlfn.IFS(
OR(ISNUMBER(SEARCH("email",D45)),ISNUMBER(SEARCH("email",F45)),ISNUMBER(SEARCH("polish",D45)),ISNUMBER(SEARCH("rewrite",F45)),ISNUMBER(SEARCH("copy",F45))),"Writing and comms",
OR(ISNUMBER(SEARCH("research",F45)),ISNUMBER(SEARCH("intel",F45)),ISNUMBER(SEARCH("company",D45)),ISNUMBER(SEARCH("digger",D45))),"Research and intel",
OR(ISNUMBER(SEARCH("prompt",D45)),ISNUMBER(SEARCH("prompt",F45))),"Prompting help",
OR(ISNUMBER(SEARCH("role",D45)),ISNUMBER(SEARCH("scorecard",F45)),ISNUMBER(SEARCH("competenc",F45))),"Role and leadership advisory",
OR(ISNUMBER(SEARCH("meeting",F45)),ISNUMBER(SEARCH("notes",F45)),ISNUMBER(SEARCH("summary",F45))),"Meeting notes and summarization",
TRUE,"Other or fragmented"
)</f>
        <v>Other or fragmented</v>
      </c>
      <c r="O45" s="3" t="s">
        <v>29</v>
      </c>
      <c r="P45" s="3"/>
    </row>
    <row r="46" spans="1:16" x14ac:dyDescent="0.25">
      <c r="A46" t="s">
        <v>15</v>
      </c>
      <c r="B46" s="1">
        <v>45992</v>
      </c>
      <c r="C46" s="1">
        <v>46022</v>
      </c>
      <c r="D46" t="s">
        <v>90</v>
      </c>
      <c r="E46" t="s">
        <v>24</v>
      </c>
      <c r="F46" t="s">
        <v>91</v>
      </c>
      <c r="G46">
        <v>0</v>
      </c>
      <c r="J46">
        <v>0</v>
      </c>
      <c r="K46">
        <v>0</v>
      </c>
      <c r="L46" t="s">
        <v>87</v>
      </c>
      <c r="M46" s="9" t="s">
        <v>19</v>
      </c>
      <c r="N46" s="3" t="str" cm="1">
        <f t="array" ref="N46">_xlfn.IFS(
OR(ISNUMBER(SEARCH("email",D46)),ISNUMBER(SEARCH("email",F46)),ISNUMBER(SEARCH("polish",D46)),ISNUMBER(SEARCH("rewrite",F46)),ISNUMBER(SEARCH("copy",F46))),"Writing and comms",
OR(ISNUMBER(SEARCH("research",F46)),ISNUMBER(SEARCH("intel",F46)),ISNUMBER(SEARCH("company",D46)),ISNUMBER(SEARCH("digger",D46))),"Research and intel",
OR(ISNUMBER(SEARCH("prompt",D46)),ISNUMBER(SEARCH("prompt",F46))),"Prompting help",
OR(ISNUMBER(SEARCH("role",D46)),ISNUMBER(SEARCH("scorecard",F46)),ISNUMBER(SEARCH("competenc",F46))),"Role and leadership advisory",
OR(ISNUMBER(SEARCH("meeting",F46)),ISNUMBER(SEARCH("notes",F46)),ISNUMBER(SEARCH("summary",F46))),"Meeting notes and summarization",
TRUE,"Other or fragmented"
)</f>
        <v>Other or fragmented</v>
      </c>
      <c r="O46" s="3" t="s">
        <v>29</v>
      </c>
      <c r="P46" s="3"/>
    </row>
    <row r="47" spans="1:16" x14ac:dyDescent="0.25">
      <c r="A47" t="s">
        <v>15</v>
      </c>
      <c r="B47" s="1">
        <v>45992</v>
      </c>
      <c r="C47" s="1">
        <v>46022</v>
      </c>
      <c r="D47" t="s">
        <v>92</v>
      </c>
      <c r="E47" t="s">
        <v>17</v>
      </c>
      <c r="F47" t="s">
        <v>88</v>
      </c>
      <c r="G47">
        <v>0</v>
      </c>
      <c r="J47">
        <v>0</v>
      </c>
      <c r="K47">
        <v>0</v>
      </c>
      <c r="L47" t="s">
        <v>87</v>
      </c>
      <c r="M47" s="10" t="s">
        <v>19</v>
      </c>
      <c r="N47" s="3" t="str" cm="1">
        <f t="array" ref="N47">_xlfn.IFS(
OR(ISNUMBER(SEARCH("email",D47)),ISNUMBER(SEARCH("email",F47)),ISNUMBER(SEARCH("polish",D47)),ISNUMBER(SEARCH("rewrite",F47)),ISNUMBER(SEARCH("copy",F47))),"Writing and comms",
OR(ISNUMBER(SEARCH("research",F47)),ISNUMBER(SEARCH("intel",F47)),ISNUMBER(SEARCH("company",D47)),ISNUMBER(SEARCH("digger",D47))),"Research and intel",
OR(ISNUMBER(SEARCH("prompt",D47)),ISNUMBER(SEARCH("prompt",F47))),"Prompting help",
OR(ISNUMBER(SEARCH("role",D47)),ISNUMBER(SEARCH("scorecard",F47)),ISNUMBER(SEARCH("competenc",F47))),"Role and leadership advisory",
OR(ISNUMBER(SEARCH("meeting",F47)),ISNUMBER(SEARCH("notes",F47)),ISNUMBER(SEARCH("summary",F47))),"Meeting notes and summarization",
TRUE,"Other or fragmented"
)</f>
        <v>Other or fragmented</v>
      </c>
      <c r="O47" s="3" t="s">
        <v>29</v>
      </c>
      <c r="P47" s="3"/>
    </row>
    <row r="48" spans="1:16" x14ac:dyDescent="0.25">
      <c r="A48" t="s">
        <v>15</v>
      </c>
      <c r="B48" s="1">
        <v>45992</v>
      </c>
      <c r="C48" s="1">
        <v>46022</v>
      </c>
      <c r="E48" t="s">
        <v>24</v>
      </c>
      <c r="G48">
        <v>0</v>
      </c>
      <c r="J48">
        <v>0</v>
      </c>
      <c r="K48">
        <v>0</v>
      </c>
      <c r="L48" t="s">
        <v>87</v>
      </c>
      <c r="M48" s="9" t="s">
        <v>19</v>
      </c>
      <c r="N48" s="3" t="str" cm="1">
        <f t="array" ref="N48">_xlfn.IFS(
OR(ISNUMBER(SEARCH("email",D48)),ISNUMBER(SEARCH("email",F48)),ISNUMBER(SEARCH("polish",D48)),ISNUMBER(SEARCH("rewrite",F48)),ISNUMBER(SEARCH("copy",F48))),"Writing and comms",
OR(ISNUMBER(SEARCH("research",F48)),ISNUMBER(SEARCH("intel",F48)),ISNUMBER(SEARCH("company",D48)),ISNUMBER(SEARCH("digger",D48))),"Research and intel",
OR(ISNUMBER(SEARCH("prompt",D48)),ISNUMBER(SEARCH("prompt",F48))),"Prompting help",
OR(ISNUMBER(SEARCH("role",D48)),ISNUMBER(SEARCH("scorecard",F48)),ISNUMBER(SEARCH("competenc",F48))),"Role and leadership advisory",
OR(ISNUMBER(SEARCH("meeting",F48)),ISNUMBER(SEARCH("notes",F48)),ISNUMBER(SEARCH("summary",F48))),"Meeting notes and summarization",
TRUE,"Other or fragmented"
)</f>
        <v>Other or fragmented</v>
      </c>
      <c r="O48" s="3" t="s">
        <v>29</v>
      </c>
      <c r="P48" s="3"/>
    </row>
    <row r="49" spans="1:16" x14ac:dyDescent="0.25">
      <c r="A49" t="s">
        <v>15</v>
      </c>
      <c r="B49" s="1">
        <v>45992</v>
      </c>
      <c r="C49" s="1">
        <v>46022</v>
      </c>
      <c r="D49" t="s">
        <v>93</v>
      </c>
      <c r="E49" t="s">
        <v>17</v>
      </c>
      <c r="F49" t="s">
        <v>94</v>
      </c>
      <c r="G49">
        <v>1</v>
      </c>
      <c r="H49" s="1">
        <v>46003</v>
      </c>
      <c r="I49" s="1">
        <v>46003</v>
      </c>
      <c r="J49">
        <v>2</v>
      </c>
      <c r="K49">
        <v>1</v>
      </c>
      <c r="L49" t="s">
        <v>95</v>
      </c>
      <c r="M49" s="10" t="s">
        <v>19</v>
      </c>
      <c r="N49" s="3" t="str" cm="1">
        <f t="array" ref="N49">_xlfn.IFS(
OR(ISNUMBER(SEARCH("email",D49)),ISNUMBER(SEARCH("email",F49)),ISNUMBER(SEARCH("polish",D49)),ISNUMBER(SEARCH("rewrite",F49)),ISNUMBER(SEARCH("copy",F49))),"Writing and comms",
OR(ISNUMBER(SEARCH("research",F49)),ISNUMBER(SEARCH("intel",F49)),ISNUMBER(SEARCH("company",D49)),ISNUMBER(SEARCH("digger",D49))),"Research and intel",
OR(ISNUMBER(SEARCH("prompt",D49)),ISNUMBER(SEARCH("prompt",F49))),"Prompting help",
OR(ISNUMBER(SEARCH("role",D49)),ISNUMBER(SEARCH("scorecard",F49)),ISNUMBER(SEARCH("competenc",F49))),"Role and leadership advisory",
OR(ISNUMBER(SEARCH("meeting",F49)),ISNUMBER(SEARCH("notes",F49)),ISNUMBER(SEARCH("summary",F49))),"Meeting notes and summarization",
TRUE,"Other or fragmented"
)</f>
        <v>Writing and comms</v>
      </c>
      <c r="O49" s="3" t="s">
        <v>29</v>
      </c>
      <c r="P49" s="3"/>
    </row>
    <row r="50" spans="1:16" x14ac:dyDescent="0.25">
      <c r="A50" t="s">
        <v>15</v>
      </c>
      <c r="B50" s="1">
        <v>45992</v>
      </c>
      <c r="C50" s="1">
        <v>46022</v>
      </c>
      <c r="E50" t="s">
        <v>24</v>
      </c>
      <c r="G50">
        <v>0</v>
      </c>
      <c r="J50">
        <v>0</v>
      </c>
      <c r="K50">
        <v>0</v>
      </c>
      <c r="L50" t="s">
        <v>97</v>
      </c>
      <c r="M50" s="9" t="s">
        <v>19</v>
      </c>
      <c r="N50" s="3" t="str" cm="1">
        <f t="array" ref="N50">_xlfn.IFS(
OR(ISNUMBER(SEARCH("email",D50)),ISNUMBER(SEARCH("email",F50)),ISNUMBER(SEARCH("polish",D50)),ISNUMBER(SEARCH("rewrite",F50)),ISNUMBER(SEARCH("copy",F50))),"Writing and comms",
OR(ISNUMBER(SEARCH("research",F50)),ISNUMBER(SEARCH("intel",F50)),ISNUMBER(SEARCH("company",D50)),ISNUMBER(SEARCH("digger",D50))),"Research and intel",
OR(ISNUMBER(SEARCH("prompt",D50)),ISNUMBER(SEARCH("prompt",F50))),"Prompting help",
OR(ISNUMBER(SEARCH("role",D50)),ISNUMBER(SEARCH("scorecard",F50)),ISNUMBER(SEARCH("competenc",F50))),"Role and leadership advisory",
OR(ISNUMBER(SEARCH("meeting",F50)),ISNUMBER(SEARCH("notes",F50)),ISNUMBER(SEARCH("summary",F50))),"Meeting notes and summarization",
TRUE,"Other or fragmented"
)</f>
        <v>Other or fragmented</v>
      </c>
      <c r="O50" s="3" t="s">
        <v>29</v>
      </c>
      <c r="P50" s="3"/>
    </row>
    <row r="51" spans="1:16" x14ac:dyDescent="0.25">
      <c r="A51" t="s">
        <v>15</v>
      </c>
      <c r="B51" s="1">
        <v>45992</v>
      </c>
      <c r="C51" s="1">
        <v>46022</v>
      </c>
      <c r="D51" t="s">
        <v>98</v>
      </c>
      <c r="E51" t="s">
        <v>17</v>
      </c>
      <c r="F51" t="s">
        <v>99</v>
      </c>
      <c r="G51">
        <v>1</v>
      </c>
      <c r="H51" s="1">
        <v>45995</v>
      </c>
      <c r="I51" s="1">
        <v>45995</v>
      </c>
      <c r="J51">
        <v>1</v>
      </c>
      <c r="K51">
        <v>1</v>
      </c>
      <c r="L51" t="s">
        <v>100</v>
      </c>
      <c r="M51" s="10" t="s">
        <v>19</v>
      </c>
      <c r="N51" s="3" t="str" cm="1">
        <f t="array" ref="N51">_xlfn.IFS(
OR(ISNUMBER(SEARCH("email",D51)),ISNUMBER(SEARCH("email",F51)),ISNUMBER(SEARCH("polish",D51)),ISNUMBER(SEARCH("rewrite",F51)),ISNUMBER(SEARCH("copy",F51))),"Writing and comms",
OR(ISNUMBER(SEARCH("research",F51)),ISNUMBER(SEARCH("intel",F51)),ISNUMBER(SEARCH("company",D51)),ISNUMBER(SEARCH("digger",D51))),"Research and intel",
OR(ISNUMBER(SEARCH("prompt",D51)),ISNUMBER(SEARCH("prompt",F51))),"Prompting help",
OR(ISNUMBER(SEARCH("role",D51)),ISNUMBER(SEARCH("scorecard",F51)),ISNUMBER(SEARCH("competenc",F51))),"Role and leadership advisory",
OR(ISNUMBER(SEARCH("meeting",F51)),ISNUMBER(SEARCH("notes",F51)),ISNUMBER(SEARCH("summary",F51))),"Meeting notes and summarization",
TRUE,"Other or fragmented"
)</f>
        <v>Other or fragmented</v>
      </c>
      <c r="O51" s="3" t="s">
        <v>29</v>
      </c>
      <c r="P51" s="3"/>
    </row>
    <row r="52" spans="1:16" x14ac:dyDescent="0.25">
      <c r="A52" t="s">
        <v>15</v>
      </c>
      <c r="B52" s="1">
        <v>45992</v>
      </c>
      <c r="C52" s="1">
        <v>46022</v>
      </c>
      <c r="E52" t="s">
        <v>24</v>
      </c>
      <c r="G52">
        <v>0</v>
      </c>
      <c r="J52">
        <v>0</v>
      </c>
      <c r="K52">
        <v>0</v>
      </c>
      <c r="L52" t="s">
        <v>100</v>
      </c>
      <c r="M52" s="9" t="s">
        <v>19</v>
      </c>
      <c r="N52" s="3" t="str" cm="1">
        <f t="array" ref="N52">_xlfn.IFS(
OR(ISNUMBER(SEARCH("email",D52)),ISNUMBER(SEARCH("email",F52)),ISNUMBER(SEARCH("polish",D52)),ISNUMBER(SEARCH("rewrite",F52)),ISNUMBER(SEARCH("copy",F52))),"Writing and comms",
OR(ISNUMBER(SEARCH("research",F52)),ISNUMBER(SEARCH("intel",F52)),ISNUMBER(SEARCH("company",D52)),ISNUMBER(SEARCH("digger",D52))),"Research and intel",
OR(ISNUMBER(SEARCH("prompt",D52)),ISNUMBER(SEARCH("prompt",F52))),"Prompting help",
OR(ISNUMBER(SEARCH("role",D52)),ISNUMBER(SEARCH("scorecard",F52)),ISNUMBER(SEARCH("competenc",F52))),"Role and leadership advisory",
OR(ISNUMBER(SEARCH("meeting",F52)),ISNUMBER(SEARCH("notes",F52)),ISNUMBER(SEARCH("summary",F52))),"Meeting notes and summarization",
TRUE,"Other or fragmented"
)</f>
        <v>Other or fragmented</v>
      </c>
      <c r="O52" s="3" t="s">
        <v>29</v>
      </c>
      <c r="P52" s="3"/>
    </row>
    <row r="53" spans="1:16" x14ac:dyDescent="0.25">
      <c r="A53" t="s">
        <v>15</v>
      </c>
      <c r="B53" s="1">
        <v>45992</v>
      </c>
      <c r="C53" s="1">
        <v>46022</v>
      </c>
      <c r="D53" t="s">
        <v>101</v>
      </c>
      <c r="E53" t="s">
        <v>24</v>
      </c>
      <c r="G53">
        <v>0</v>
      </c>
      <c r="J53">
        <v>0</v>
      </c>
      <c r="K53">
        <v>0</v>
      </c>
      <c r="L53" t="s">
        <v>100</v>
      </c>
      <c r="M53" s="10" t="s">
        <v>19</v>
      </c>
      <c r="N53" s="3" t="str" cm="1">
        <f t="array" ref="N53">_xlfn.IFS(
OR(ISNUMBER(SEARCH("email",D53)),ISNUMBER(SEARCH("email",F53)),ISNUMBER(SEARCH("polish",D53)),ISNUMBER(SEARCH("rewrite",F53)),ISNUMBER(SEARCH("copy",F53))),"Writing and comms",
OR(ISNUMBER(SEARCH("research",F53)),ISNUMBER(SEARCH("intel",F53)),ISNUMBER(SEARCH("company",D53)),ISNUMBER(SEARCH("digger",D53))),"Research and intel",
OR(ISNUMBER(SEARCH("prompt",D53)),ISNUMBER(SEARCH("prompt",F53))),"Prompting help",
OR(ISNUMBER(SEARCH("role",D53)),ISNUMBER(SEARCH("scorecard",F53)),ISNUMBER(SEARCH("competenc",F53))),"Role and leadership advisory",
OR(ISNUMBER(SEARCH("meeting",F53)),ISNUMBER(SEARCH("notes",F53)),ISNUMBER(SEARCH("summary",F53))),"Meeting notes and summarization",
TRUE,"Other or fragmented"
)</f>
        <v>Other or fragmented</v>
      </c>
      <c r="O53" s="3" t="s">
        <v>29</v>
      </c>
      <c r="P53" s="3"/>
    </row>
    <row r="54" spans="1:16" x14ac:dyDescent="0.25">
      <c r="A54" t="s">
        <v>15</v>
      </c>
      <c r="B54" s="1">
        <v>45992</v>
      </c>
      <c r="C54" s="1">
        <v>46022</v>
      </c>
      <c r="E54" t="s">
        <v>24</v>
      </c>
      <c r="G54">
        <v>0</v>
      </c>
      <c r="J54">
        <v>0</v>
      </c>
      <c r="K54">
        <v>0</v>
      </c>
      <c r="L54" t="s">
        <v>100</v>
      </c>
      <c r="M54" s="9" t="s">
        <v>19</v>
      </c>
      <c r="N54" s="3" t="str" cm="1">
        <f t="array" ref="N54">_xlfn.IFS(
OR(ISNUMBER(SEARCH("email",D54)),ISNUMBER(SEARCH("email",F54)),ISNUMBER(SEARCH("polish",D54)),ISNUMBER(SEARCH("rewrite",F54)),ISNUMBER(SEARCH("copy",F54))),"Writing and comms",
OR(ISNUMBER(SEARCH("research",F54)),ISNUMBER(SEARCH("intel",F54)),ISNUMBER(SEARCH("company",D54)),ISNUMBER(SEARCH("digger",D54))),"Research and intel",
OR(ISNUMBER(SEARCH("prompt",D54)),ISNUMBER(SEARCH("prompt",F54))),"Prompting help",
OR(ISNUMBER(SEARCH("role",D54)),ISNUMBER(SEARCH("scorecard",F54)),ISNUMBER(SEARCH("competenc",F54))),"Role and leadership advisory",
OR(ISNUMBER(SEARCH("meeting",F54)),ISNUMBER(SEARCH("notes",F54)),ISNUMBER(SEARCH("summary",F54))),"Meeting notes and summarization",
TRUE,"Other or fragmented"
)</f>
        <v>Other or fragmented</v>
      </c>
      <c r="O54" s="3" t="s">
        <v>29</v>
      </c>
      <c r="P54" s="3"/>
    </row>
    <row r="55" spans="1:16" x14ac:dyDescent="0.25">
      <c r="A55" t="s">
        <v>15</v>
      </c>
      <c r="B55" s="1">
        <v>45992</v>
      </c>
      <c r="C55" s="1">
        <v>46022</v>
      </c>
      <c r="E55" t="s">
        <v>24</v>
      </c>
      <c r="G55">
        <v>0</v>
      </c>
      <c r="J55">
        <v>0</v>
      </c>
      <c r="K55">
        <v>0</v>
      </c>
      <c r="L55" t="s">
        <v>102</v>
      </c>
      <c r="M55" s="10" t="s">
        <v>19</v>
      </c>
      <c r="N55" s="3" t="str" cm="1">
        <f t="array" ref="N55">_xlfn.IFS(
OR(ISNUMBER(SEARCH("email",D55)),ISNUMBER(SEARCH("email",F55)),ISNUMBER(SEARCH("polish",D55)),ISNUMBER(SEARCH("rewrite",F55)),ISNUMBER(SEARCH("copy",F55))),"Writing and comms",
OR(ISNUMBER(SEARCH("research",F55)),ISNUMBER(SEARCH("intel",F55)),ISNUMBER(SEARCH("company",D55)),ISNUMBER(SEARCH("digger",D55))),"Research and intel",
OR(ISNUMBER(SEARCH("prompt",D55)),ISNUMBER(SEARCH("prompt",F55))),"Prompting help",
OR(ISNUMBER(SEARCH("role",D55)),ISNUMBER(SEARCH("scorecard",F55)),ISNUMBER(SEARCH("competenc",F55))),"Role and leadership advisory",
OR(ISNUMBER(SEARCH("meeting",F55)),ISNUMBER(SEARCH("notes",F55)),ISNUMBER(SEARCH("summary",F55))),"Meeting notes and summarization",
TRUE,"Other or fragmented"
)</f>
        <v>Other or fragmented</v>
      </c>
      <c r="O55" s="3" t="s">
        <v>29</v>
      </c>
      <c r="P55" s="3"/>
    </row>
    <row r="56" spans="1:16" x14ac:dyDescent="0.25">
      <c r="A56" t="s">
        <v>15</v>
      </c>
      <c r="B56" s="1">
        <v>45992</v>
      </c>
      <c r="C56" s="1">
        <v>46022</v>
      </c>
      <c r="E56" t="s">
        <v>24</v>
      </c>
      <c r="G56">
        <v>1</v>
      </c>
      <c r="H56" s="1">
        <v>46002</v>
      </c>
      <c r="I56" s="1">
        <v>46002</v>
      </c>
      <c r="J56">
        <v>1</v>
      </c>
      <c r="K56">
        <v>1</v>
      </c>
      <c r="L56" t="s">
        <v>103</v>
      </c>
      <c r="M56" s="9" t="s">
        <v>19</v>
      </c>
      <c r="N56" s="3" t="str" cm="1">
        <f t="array" ref="N56">_xlfn.IFS(
OR(ISNUMBER(SEARCH("email",D56)),ISNUMBER(SEARCH("email",F56)),ISNUMBER(SEARCH("polish",D56)),ISNUMBER(SEARCH("rewrite",F56)),ISNUMBER(SEARCH("copy",F56))),"Writing and comms",
OR(ISNUMBER(SEARCH("research",F56)),ISNUMBER(SEARCH("intel",F56)),ISNUMBER(SEARCH("company",D56)),ISNUMBER(SEARCH("digger",D56))),"Research and intel",
OR(ISNUMBER(SEARCH("prompt",D56)),ISNUMBER(SEARCH("prompt",F56))),"Prompting help",
OR(ISNUMBER(SEARCH("role",D56)),ISNUMBER(SEARCH("scorecard",F56)),ISNUMBER(SEARCH("competenc",F56))),"Role and leadership advisory",
OR(ISNUMBER(SEARCH("meeting",F56)),ISNUMBER(SEARCH("notes",F56)),ISNUMBER(SEARCH("summary",F56))),"Meeting notes and summarization",
TRUE,"Other or fragmented"
)</f>
        <v>Other or fragmented</v>
      </c>
      <c r="O56" s="3" t="s">
        <v>29</v>
      </c>
      <c r="P56" s="3"/>
    </row>
    <row r="57" spans="1:16" x14ac:dyDescent="0.25">
      <c r="A57" t="s">
        <v>15</v>
      </c>
      <c r="B57" s="1">
        <v>45992</v>
      </c>
      <c r="C57" s="1">
        <v>46022</v>
      </c>
      <c r="D57" t="s">
        <v>104</v>
      </c>
      <c r="E57" t="s">
        <v>17</v>
      </c>
      <c r="F57" t="s">
        <v>105</v>
      </c>
      <c r="G57">
        <v>1</v>
      </c>
      <c r="H57" s="1">
        <v>45993</v>
      </c>
      <c r="I57" s="1">
        <v>45993</v>
      </c>
      <c r="J57">
        <v>2</v>
      </c>
      <c r="K57">
        <v>1</v>
      </c>
      <c r="L57" t="s">
        <v>106</v>
      </c>
      <c r="M57" s="10" t="s">
        <v>19</v>
      </c>
      <c r="N57" s="3" t="str" cm="1">
        <f t="array" ref="N57">_xlfn.IFS(
OR(ISNUMBER(SEARCH("email",D57)),ISNUMBER(SEARCH("email",F57)),ISNUMBER(SEARCH("polish",D57)),ISNUMBER(SEARCH("rewrite",F57)),ISNUMBER(SEARCH("copy",F57))),"Writing and comms",
OR(ISNUMBER(SEARCH("research",F57)),ISNUMBER(SEARCH("intel",F57)),ISNUMBER(SEARCH("company",D57)),ISNUMBER(SEARCH("digger",D57))),"Research and intel",
OR(ISNUMBER(SEARCH("prompt",D57)),ISNUMBER(SEARCH("prompt",F57))),"Prompting help",
OR(ISNUMBER(SEARCH("role",D57)),ISNUMBER(SEARCH("scorecard",F57)),ISNUMBER(SEARCH("competenc",F57))),"Role and leadership advisory",
OR(ISNUMBER(SEARCH("meeting",F57)),ISNUMBER(SEARCH("notes",F57)),ISNUMBER(SEARCH("summary",F57))),"Meeting notes and summarization",
TRUE,"Other or fragmented"
)</f>
        <v>Other or fragmented</v>
      </c>
      <c r="O57" s="3" t="s">
        <v>29</v>
      </c>
      <c r="P57" s="3"/>
    </row>
    <row r="58" spans="1:16" x14ac:dyDescent="0.25">
      <c r="A58" t="s">
        <v>15</v>
      </c>
      <c r="B58" s="1">
        <v>45992</v>
      </c>
      <c r="C58" s="1">
        <v>46022</v>
      </c>
      <c r="D58" t="s">
        <v>107</v>
      </c>
      <c r="E58" t="s">
        <v>17</v>
      </c>
      <c r="G58">
        <v>1</v>
      </c>
      <c r="H58" s="1">
        <v>45993</v>
      </c>
      <c r="I58" s="1">
        <v>45993</v>
      </c>
      <c r="J58">
        <v>4</v>
      </c>
      <c r="K58">
        <v>1</v>
      </c>
      <c r="L58" t="s">
        <v>106</v>
      </c>
      <c r="M58" s="9" t="s">
        <v>19</v>
      </c>
      <c r="N58" s="3" t="str" cm="1">
        <f t="array" ref="N58">_xlfn.IFS(
OR(ISNUMBER(SEARCH("email",D58)),ISNUMBER(SEARCH("email",F58)),ISNUMBER(SEARCH("polish",D58)),ISNUMBER(SEARCH("rewrite",F58)),ISNUMBER(SEARCH("copy",F58))),"Writing and comms",
OR(ISNUMBER(SEARCH("research",F58)),ISNUMBER(SEARCH("intel",F58)),ISNUMBER(SEARCH("company",D58)),ISNUMBER(SEARCH("digger",D58))),"Research and intel",
OR(ISNUMBER(SEARCH("prompt",D58)),ISNUMBER(SEARCH("prompt",F58))),"Prompting help",
OR(ISNUMBER(SEARCH("role",D58)),ISNUMBER(SEARCH("scorecard",F58)),ISNUMBER(SEARCH("competenc",F58))),"Role and leadership advisory",
OR(ISNUMBER(SEARCH("meeting",F58)),ISNUMBER(SEARCH("notes",F58)),ISNUMBER(SEARCH("summary",F58))),"Meeting notes and summarization",
TRUE,"Other or fragmented"
)</f>
        <v>Other or fragmented</v>
      </c>
      <c r="O58" s="3" t="s">
        <v>29</v>
      </c>
      <c r="P58" s="3"/>
    </row>
    <row r="59" spans="1:16" x14ac:dyDescent="0.25">
      <c r="A59" t="s">
        <v>15</v>
      </c>
      <c r="B59" s="1">
        <v>45992</v>
      </c>
      <c r="C59" s="1">
        <v>46022</v>
      </c>
      <c r="E59" t="s">
        <v>24</v>
      </c>
      <c r="G59">
        <v>0</v>
      </c>
      <c r="J59">
        <v>0</v>
      </c>
      <c r="K59">
        <v>0</v>
      </c>
      <c r="L59" t="s">
        <v>108</v>
      </c>
      <c r="M59" s="10" t="s">
        <v>19</v>
      </c>
      <c r="N59" s="3" t="str" cm="1">
        <f t="array" ref="N59">_xlfn.IFS(
OR(ISNUMBER(SEARCH("email",D59)),ISNUMBER(SEARCH("email",F59)),ISNUMBER(SEARCH("polish",D59)),ISNUMBER(SEARCH("rewrite",F59)),ISNUMBER(SEARCH("copy",F59))),"Writing and comms",
OR(ISNUMBER(SEARCH("research",F59)),ISNUMBER(SEARCH("intel",F59)),ISNUMBER(SEARCH("company",D59)),ISNUMBER(SEARCH("digger",D59))),"Research and intel",
OR(ISNUMBER(SEARCH("prompt",D59)),ISNUMBER(SEARCH("prompt",F59))),"Prompting help",
OR(ISNUMBER(SEARCH("role",D59)),ISNUMBER(SEARCH("scorecard",F59)),ISNUMBER(SEARCH("competenc",F59))),"Role and leadership advisory",
OR(ISNUMBER(SEARCH("meeting",F59)),ISNUMBER(SEARCH("notes",F59)),ISNUMBER(SEARCH("summary",F59))),"Meeting notes and summarization",
TRUE,"Other or fragmented"
)</f>
        <v>Other or fragmented</v>
      </c>
      <c r="O59" s="3" t="s">
        <v>29</v>
      </c>
      <c r="P59" s="3"/>
    </row>
    <row r="60" spans="1:16" x14ac:dyDescent="0.25">
      <c r="A60" t="s">
        <v>15</v>
      </c>
      <c r="B60" s="1">
        <v>45992</v>
      </c>
      <c r="C60" s="1">
        <v>46022</v>
      </c>
      <c r="E60" t="s">
        <v>24</v>
      </c>
      <c r="G60">
        <v>0</v>
      </c>
      <c r="J60">
        <v>0</v>
      </c>
      <c r="K60">
        <v>0</v>
      </c>
      <c r="L60" t="s">
        <v>109</v>
      </c>
      <c r="M60" s="9" t="s">
        <v>19</v>
      </c>
      <c r="N60" s="3" t="str" cm="1">
        <f t="array" ref="N60">_xlfn.IFS(
OR(ISNUMBER(SEARCH("email",D60)),ISNUMBER(SEARCH("email",F60)),ISNUMBER(SEARCH("polish",D60)),ISNUMBER(SEARCH("rewrite",F60)),ISNUMBER(SEARCH("copy",F60))),"Writing and comms",
OR(ISNUMBER(SEARCH("research",F60)),ISNUMBER(SEARCH("intel",F60)),ISNUMBER(SEARCH("company",D60)),ISNUMBER(SEARCH("digger",D60))),"Research and intel",
OR(ISNUMBER(SEARCH("prompt",D60)),ISNUMBER(SEARCH("prompt",F60))),"Prompting help",
OR(ISNUMBER(SEARCH("role",D60)),ISNUMBER(SEARCH("scorecard",F60)),ISNUMBER(SEARCH("competenc",F60))),"Role and leadership advisory",
OR(ISNUMBER(SEARCH("meeting",F60)),ISNUMBER(SEARCH("notes",F60)),ISNUMBER(SEARCH("summary",F60))),"Meeting notes and summarization",
TRUE,"Other or fragmented"
)</f>
        <v>Other or fragmented</v>
      </c>
      <c r="O60" s="3" t="s">
        <v>29</v>
      </c>
      <c r="P60" s="3"/>
    </row>
    <row r="61" spans="1:16" x14ac:dyDescent="0.25">
      <c r="A61" t="s">
        <v>15</v>
      </c>
      <c r="B61" s="1">
        <v>45992</v>
      </c>
      <c r="C61" s="1">
        <v>46022</v>
      </c>
      <c r="D61" t="s">
        <v>110</v>
      </c>
      <c r="E61" t="s">
        <v>24</v>
      </c>
      <c r="G61">
        <v>0</v>
      </c>
      <c r="J61">
        <v>0</v>
      </c>
      <c r="K61">
        <v>0</v>
      </c>
      <c r="L61" t="s">
        <v>111</v>
      </c>
      <c r="M61" s="10" t="s">
        <v>19</v>
      </c>
      <c r="N61" s="3" t="str" cm="1">
        <f t="array" ref="N61">_xlfn.IFS(
OR(ISNUMBER(SEARCH("email",D61)),ISNUMBER(SEARCH("email",F61)),ISNUMBER(SEARCH("polish",D61)),ISNUMBER(SEARCH("rewrite",F61)),ISNUMBER(SEARCH("copy",F61))),"Writing and comms",
OR(ISNUMBER(SEARCH("research",F61)),ISNUMBER(SEARCH("intel",F61)),ISNUMBER(SEARCH("company",D61)),ISNUMBER(SEARCH("digger",D61))),"Research and intel",
OR(ISNUMBER(SEARCH("prompt",D61)),ISNUMBER(SEARCH("prompt",F61))),"Prompting help",
OR(ISNUMBER(SEARCH("role",D61)),ISNUMBER(SEARCH("scorecard",F61)),ISNUMBER(SEARCH("competenc",F61))),"Role and leadership advisory",
OR(ISNUMBER(SEARCH("meeting",F61)),ISNUMBER(SEARCH("notes",F61)),ISNUMBER(SEARCH("summary",F61))),"Meeting notes and summarization",
TRUE,"Other or fragmented"
)</f>
        <v>Other or fragmented</v>
      </c>
      <c r="O61" s="3" t="s">
        <v>29</v>
      </c>
      <c r="P61" s="3"/>
    </row>
    <row r="62" spans="1:16" x14ac:dyDescent="0.25">
      <c r="A62" t="s">
        <v>15</v>
      </c>
      <c r="B62" s="1">
        <v>45992</v>
      </c>
      <c r="C62" s="1">
        <v>46022</v>
      </c>
      <c r="E62" t="s">
        <v>24</v>
      </c>
      <c r="G62">
        <v>0</v>
      </c>
      <c r="J62">
        <v>0</v>
      </c>
      <c r="K62">
        <v>0</v>
      </c>
      <c r="L62" t="s">
        <v>112</v>
      </c>
      <c r="M62" s="9" t="s">
        <v>19</v>
      </c>
      <c r="N62" s="3" t="str" cm="1">
        <f t="array" ref="N62">_xlfn.IFS(
OR(ISNUMBER(SEARCH("email",D62)),ISNUMBER(SEARCH("email",F62)),ISNUMBER(SEARCH("polish",D62)),ISNUMBER(SEARCH("rewrite",F62)),ISNUMBER(SEARCH("copy",F62))),"Writing and comms",
OR(ISNUMBER(SEARCH("research",F62)),ISNUMBER(SEARCH("intel",F62)),ISNUMBER(SEARCH("company",D62)),ISNUMBER(SEARCH("digger",D62))),"Research and intel",
OR(ISNUMBER(SEARCH("prompt",D62)),ISNUMBER(SEARCH("prompt",F62))),"Prompting help",
OR(ISNUMBER(SEARCH("role",D62)),ISNUMBER(SEARCH("scorecard",F62)),ISNUMBER(SEARCH("competenc",F62))),"Role and leadership advisory",
OR(ISNUMBER(SEARCH("meeting",F62)),ISNUMBER(SEARCH("notes",F62)),ISNUMBER(SEARCH("summary",F62))),"Meeting notes and summarization",
TRUE,"Other or fragmented"
)</f>
        <v>Other or fragmented</v>
      </c>
      <c r="O62" s="3" t="s">
        <v>29</v>
      </c>
      <c r="P62" s="3"/>
    </row>
    <row r="63" spans="1:16" x14ac:dyDescent="0.25">
      <c r="A63" t="s">
        <v>15</v>
      </c>
      <c r="B63" s="1">
        <v>45992</v>
      </c>
      <c r="C63" s="1">
        <v>46022</v>
      </c>
      <c r="D63" t="s">
        <v>113</v>
      </c>
      <c r="E63" t="s">
        <v>24</v>
      </c>
      <c r="F63" t="s">
        <v>114</v>
      </c>
      <c r="G63">
        <v>0</v>
      </c>
      <c r="J63">
        <v>0</v>
      </c>
      <c r="K63">
        <v>0</v>
      </c>
      <c r="L63" t="s">
        <v>115</v>
      </c>
      <c r="M63" s="10" t="s">
        <v>19</v>
      </c>
      <c r="N63" s="3" t="str" cm="1">
        <f t="array" ref="N63">_xlfn.IFS(
OR(ISNUMBER(SEARCH("email",D63)),ISNUMBER(SEARCH("email",F63)),ISNUMBER(SEARCH("polish",D63)),ISNUMBER(SEARCH("rewrite",F63)),ISNUMBER(SEARCH("copy",F63))),"Writing and comms",
OR(ISNUMBER(SEARCH("research",F63)),ISNUMBER(SEARCH("intel",F63)),ISNUMBER(SEARCH("company",D63)),ISNUMBER(SEARCH("digger",D63))),"Research and intel",
OR(ISNUMBER(SEARCH("prompt",D63)),ISNUMBER(SEARCH("prompt",F63))),"Prompting help",
OR(ISNUMBER(SEARCH("role",D63)),ISNUMBER(SEARCH("scorecard",F63)),ISNUMBER(SEARCH("competenc",F63))),"Role and leadership advisory",
OR(ISNUMBER(SEARCH("meeting",F63)),ISNUMBER(SEARCH("notes",F63)),ISNUMBER(SEARCH("summary",F63))),"Meeting notes and summarization",
TRUE,"Other or fragmented"
)</f>
        <v>Other or fragmented</v>
      </c>
      <c r="O63" s="3" t="s">
        <v>29</v>
      </c>
      <c r="P63" s="3"/>
    </row>
    <row r="64" spans="1:16" x14ac:dyDescent="0.25">
      <c r="A64" t="s">
        <v>15</v>
      </c>
      <c r="B64" s="1">
        <v>45992</v>
      </c>
      <c r="C64" s="1">
        <v>46022</v>
      </c>
      <c r="E64" t="s">
        <v>24</v>
      </c>
      <c r="G64">
        <v>0</v>
      </c>
      <c r="J64">
        <v>0</v>
      </c>
      <c r="K64">
        <v>0</v>
      </c>
      <c r="L64" t="s">
        <v>116</v>
      </c>
      <c r="M64" s="9" t="s">
        <v>19</v>
      </c>
      <c r="N64" s="3" t="str" cm="1">
        <f t="array" ref="N64">_xlfn.IFS(
OR(ISNUMBER(SEARCH("email",D64)),ISNUMBER(SEARCH("email",F64)),ISNUMBER(SEARCH("polish",D64)),ISNUMBER(SEARCH("rewrite",F64)),ISNUMBER(SEARCH("copy",F64))),"Writing and comms",
OR(ISNUMBER(SEARCH("research",F64)),ISNUMBER(SEARCH("intel",F64)),ISNUMBER(SEARCH("company",D64)),ISNUMBER(SEARCH("digger",D64))),"Research and intel",
OR(ISNUMBER(SEARCH("prompt",D64)),ISNUMBER(SEARCH("prompt",F64))),"Prompting help",
OR(ISNUMBER(SEARCH("role",D64)),ISNUMBER(SEARCH("scorecard",F64)),ISNUMBER(SEARCH("competenc",F64))),"Role and leadership advisory",
OR(ISNUMBER(SEARCH("meeting",F64)),ISNUMBER(SEARCH("notes",F64)),ISNUMBER(SEARCH("summary",F64))),"Meeting notes and summarization",
TRUE,"Other or fragmented"
)</f>
        <v>Other or fragmented</v>
      </c>
      <c r="O64" s="3" t="s">
        <v>29</v>
      </c>
      <c r="P64" s="3"/>
    </row>
    <row r="65" spans="1:16" x14ac:dyDescent="0.25">
      <c r="A65" t="s">
        <v>15</v>
      </c>
      <c r="B65" s="1">
        <v>45992</v>
      </c>
      <c r="C65" s="1">
        <v>46022</v>
      </c>
      <c r="E65" t="s">
        <v>24</v>
      </c>
      <c r="G65">
        <v>0</v>
      </c>
      <c r="J65">
        <v>0</v>
      </c>
      <c r="K65">
        <v>0</v>
      </c>
      <c r="L65" t="s">
        <v>117</v>
      </c>
      <c r="M65" s="10" t="s">
        <v>19</v>
      </c>
      <c r="N65" s="3" t="str" cm="1">
        <f t="array" ref="N65">_xlfn.IFS(
OR(ISNUMBER(SEARCH("email",D65)),ISNUMBER(SEARCH("email",F65)),ISNUMBER(SEARCH("polish",D65)),ISNUMBER(SEARCH("rewrite",F65)),ISNUMBER(SEARCH("copy",F65))),"Writing and comms",
OR(ISNUMBER(SEARCH("research",F65)),ISNUMBER(SEARCH("intel",F65)),ISNUMBER(SEARCH("company",D65)),ISNUMBER(SEARCH("digger",D65))),"Research and intel",
OR(ISNUMBER(SEARCH("prompt",D65)),ISNUMBER(SEARCH("prompt",F65))),"Prompting help",
OR(ISNUMBER(SEARCH("role",D65)),ISNUMBER(SEARCH("scorecard",F65)),ISNUMBER(SEARCH("competenc",F65))),"Role and leadership advisory",
OR(ISNUMBER(SEARCH("meeting",F65)),ISNUMBER(SEARCH("notes",F65)),ISNUMBER(SEARCH("summary",F65))),"Meeting notes and summarization",
TRUE,"Other or fragmented"
)</f>
        <v>Other or fragmented</v>
      </c>
      <c r="O65" s="3" t="s">
        <v>29</v>
      </c>
      <c r="P65" s="3"/>
    </row>
    <row r="66" spans="1:16" x14ac:dyDescent="0.25">
      <c r="A66" t="s">
        <v>15</v>
      </c>
      <c r="B66" s="1">
        <v>45992</v>
      </c>
      <c r="C66" s="1">
        <v>46022</v>
      </c>
      <c r="E66" t="s">
        <v>24</v>
      </c>
      <c r="G66">
        <v>0</v>
      </c>
      <c r="J66">
        <v>0</v>
      </c>
      <c r="K66">
        <v>0</v>
      </c>
      <c r="L66" t="s">
        <v>117</v>
      </c>
      <c r="M66" s="9" t="s">
        <v>19</v>
      </c>
      <c r="N66" s="3" t="str" cm="1">
        <f t="array" ref="N66">_xlfn.IFS(
OR(ISNUMBER(SEARCH("email",D66)),ISNUMBER(SEARCH("email",F66)),ISNUMBER(SEARCH("polish",D66)),ISNUMBER(SEARCH("rewrite",F66)),ISNUMBER(SEARCH("copy",F66))),"Writing and comms",
OR(ISNUMBER(SEARCH("research",F66)),ISNUMBER(SEARCH("intel",F66)),ISNUMBER(SEARCH("company",D66)),ISNUMBER(SEARCH("digger",D66))),"Research and intel",
OR(ISNUMBER(SEARCH("prompt",D66)),ISNUMBER(SEARCH("prompt",F66))),"Prompting help",
OR(ISNUMBER(SEARCH("role",D66)),ISNUMBER(SEARCH("scorecard",F66)),ISNUMBER(SEARCH("competenc",F66))),"Role and leadership advisory",
OR(ISNUMBER(SEARCH("meeting",F66)),ISNUMBER(SEARCH("notes",F66)),ISNUMBER(SEARCH("summary",F66))),"Meeting notes and summarization",
TRUE,"Other or fragmented"
)</f>
        <v>Other or fragmented</v>
      </c>
      <c r="O66" s="3" t="s">
        <v>29</v>
      </c>
      <c r="P66" s="3"/>
    </row>
    <row r="67" spans="1:16" x14ac:dyDescent="0.25">
      <c r="A67" t="s">
        <v>15</v>
      </c>
      <c r="B67" s="1">
        <v>45992</v>
      </c>
      <c r="C67" s="1">
        <v>46022</v>
      </c>
      <c r="E67" t="s">
        <v>24</v>
      </c>
      <c r="F67" t="s">
        <v>118</v>
      </c>
      <c r="G67">
        <v>1</v>
      </c>
      <c r="H67" s="1">
        <v>46010</v>
      </c>
      <c r="I67" s="1">
        <v>46010</v>
      </c>
      <c r="J67">
        <v>4</v>
      </c>
      <c r="K67">
        <v>1</v>
      </c>
      <c r="L67" t="s">
        <v>119</v>
      </c>
      <c r="M67" s="10" t="s">
        <v>19</v>
      </c>
      <c r="N67" s="3" t="str" cm="1">
        <f t="array" ref="N67">_xlfn.IFS(
OR(ISNUMBER(SEARCH("email",D67)),ISNUMBER(SEARCH("email",F67)),ISNUMBER(SEARCH("polish",D67)),ISNUMBER(SEARCH("rewrite",F67)),ISNUMBER(SEARCH("copy",F67))),"Writing and comms",
OR(ISNUMBER(SEARCH("research",F67)),ISNUMBER(SEARCH("intel",F67)),ISNUMBER(SEARCH("company",D67)),ISNUMBER(SEARCH("digger",D67))),"Research and intel",
OR(ISNUMBER(SEARCH("prompt",D67)),ISNUMBER(SEARCH("prompt",F67))),"Prompting help",
OR(ISNUMBER(SEARCH("role",D67)),ISNUMBER(SEARCH("scorecard",F67)),ISNUMBER(SEARCH("competenc",F67))),"Role and leadership advisory",
OR(ISNUMBER(SEARCH("meeting",F67)),ISNUMBER(SEARCH("notes",F67)),ISNUMBER(SEARCH("summary",F67))),"Meeting notes and summarization",
TRUE,"Other or fragmented"
)</f>
        <v>Meeting notes and summarization</v>
      </c>
      <c r="O67" s="3" t="s">
        <v>29</v>
      </c>
      <c r="P67" s="3"/>
    </row>
    <row r="68" spans="1:16" x14ac:dyDescent="0.25">
      <c r="A68" t="s">
        <v>15</v>
      </c>
      <c r="B68" s="1">
        <v>45992</v>
      </c>
      <c r="C68" s="1">
        <v>46022</v>
      </c>
      <c r="E68" t="s">
        <v>24</v>
      </c>
      <c r="G68">
        <v>0</v>
      </c>
      <c r="J68">
        <v>0</v>
      </c>
      <c r="K68">
        <v>0</v>
      </c>
      <c r="L68" t="s">
        <v>120</v>
      </c>
      <c r="M68" s="9" t="s">
        <v>19</v>
      </c>
      <c r="N68" s="3" t="str" cm="1">
        <f t="array" ref="N68">_xlfn.IFS(
OR(ISNUMBER(SEARCH("email",D68)),ISNUMBER(SEARCH("email",F68)),ISNUMBER(SEARCH("polish",D68)),ISNUMBER(SEARCH("rewrite",F68)),ISNUMBER(SEARCH("copy",F68))),"Writing and comms",
OR(ISNUMBER(SEARCH("research",F68)),ISNUMBER(SEARCH("intel",F68)),ISNUMBER(SEARCH("company",D68)),ISNUMBER(SEARCH("digger",D68))),"Research and intel",
OR(ISNUMBER(SEARCH("prompt",D68)),ISNUMBER(SEARCH("prompt",F68))),"Prompting help",
OR(ISNUMBER(SEARCH("role",D68)),ISNUMBER(SEARCH("scorecard",F68)),ISNUMBER(SEARCH("competenc",F68))),"Role and leadership advisory",
OR(ISNUMBER(SEARCH("meeting",F68)),ISNUMBER(SEARCH("notes",F68)),ISNUMBER(SEARCH("summary",F68))),"Meeting notes and summarization",
TRUE,"Other or fragmented"
)</f>
        <v>Other or fragmented</v>
      </c>
      <c r="O68" s="3" t="s">
        <v>29</v>
      </c>
      <c r="P68" s="3"/>
    </row>
    <row r="69" spans="1:16" x14ac:dyDescent="0.25">
      <c r="A69" t="s">
        <v>15</v>
      </c>
      <c r="B69" s="1">
        <v>45992</v>
      </c>
      <c r="C69" s="1">
        <v>46022</v>
      </c>
      <c r="D69" t="s">
        <v>121</v>
      </c>
      <c r="E69" t="s">
        <v>24</v>
      </c>
      <c r="F69" t="s">
        <v>122</v>
      </c>
      <c r="G69">
        <v>0</v>
      </c>
      <c r="J69">
        <v>0</v>
      </c>
      <c r="K69">
        <v>0</v>
      </c>
      <c r="L69" t="s">
        <v>123</v>
      </c>
      <c r="M69" s="10" t="s">
        <v>19</v>
      </c>
      <c r="N69" s="3" t="str" cm="1">
        <f t="array" ref="N69">_xlfn.IFS(
OR(ISNUMBER(SEARCH("email",D69)),ISNUMBER(SEARCH("email",F69)),ISNUMBER(SEARCH("polish",D69)),ISNUMBER(SEARCH("rewrite",F69)),ISNUMBER(SEARCH("copy",F69))),"Writing and comms",
OR(ISNUMBER(SEARCH("research",F69)),ISNUMBER(SEARCH("intel",F69)),ISNUMBER(SEARCH("company",D69)),ISNUMBER(SEARCH("digger",D69))),"Research and intel",
OR(ISNUMBER(SEARCH("prompt",D69)),ISNUMBER(SEARCH("prompt",F69))),"Prompting help",
OR(ISNUMBER(SEARCH("role",D69)),ISNUMBER(SEARCH("scorecard",F69)),ISNUMBER(SEARCH("competenc",F69))),"Role and leadership advisory",
OR(ISNUMBER(SEARCH("meeting",F69)),ISNUMBER(SEARCH("notes",F69)),ISNUMBER(SEARCH("summary",F69))),"Meeting notes and summarization",
TRUE,"Other or fragmented"
)</f>
        <v>Other or fragmented</v>
      </c>
      <c r="O69" s="3" t="s">
        <v>29</v>
      </c>
      <c r="P69" s="3"/>
    </row>
    <row r="70" spans="1:16" x14ac:dyDescent="0.25">
      <c r="A70" t="s">
        <v>15</v>
      </c>
      <c r="B70" s="1">
        <v>45992</v>
      </c>
      <c r="C70" s="1">
        <v>46022</v>
      </c>
      <c r="E70" t="s">
        <v>24</v>
      </c>
      <c r="G70">
        <v>0</v>
      </c>
      <c r="J70">
        <v>0</v>
      </c>
      <c r="K70">
        <v>0</v>
      </c>
      <c r="L70" t="s">
        <v>124</v>
      </c>
      <c r="M70" s="9" t="s">
        <v>19</v>
      </c>
      <c r="N70" s="3" t="str" cm="1">
        <f t="array" ref="N70">_xlfn.IFS(
OR(ISNUMBER(SEARCH("email",D70)),ISNUMBER(SEARCH("email",F70)),ISNUMBER(SEARCH("polish",D70)),ISNUMBER(SEARCH("rewrite",F70)),ISNUMBER(SEARCH("copy",F70))),"Writing and comms",
OR(ISNUMBER(SEARCH("research",F70)),ISNUMBER(SEARCH("intel",F70)),ISNUMBER(SEARCH("company",D70)),ISNUMBER(SEARCH("digger",D70))),"Research and intel",
OR(ISNUMBER(SEARCH("prompt",D70)),ISNUMBER(SEARCH("prompt",F70))),"Prompting help",
OR(ISNUMBER(SEARCH("role",D70)),ISNUMBER(SEARCH("scorecard",F70)),ISNUMBER(SEARCH("competenc",F70))),"Role and leadership advisory",
OR(ISNUMBER(SEARCH("meeting",F70)),ISNUMBER(SEARCH("notes",F70)),ISNUMBER(SEARCH("summary",F70))),"Meeting notes and summarization",
TRUE,"Other or fragmented"
)</f>
        <v>Other or fragmented</v>
      </c>
      <c r="O70" s="3" t="s">
        <v>29</v>
      </c>
      <c r="P70" s="3"/>
    </row>
    <row r="71" spans="1:16" x14ac:dyDescent="0.25">
      <c r="A71" t="s">
        <v>15</v>
      </c>
      <c r="B71" s="1">
        <v>45992</v>
      </c>
      <c r="C71" s="1">
        <v>46022</v>
      </c>
      <c r="E71" t="s">
        <v>24</v>
      </c>
      <c r="G71">
        <v>0</v>
      </c>
      <c r="J71">
        <v>0</v>
      </c>
      <c r="K71">
        <v>0</v>
      </c>
      <c r="L71" t="s">
        <v>125</v>
      </c>
      <c r="M71" s="10" t="s">
        <v>19</v>
      </c>
      <c r="N71" s="3" t="str" cm="1">
        <f t="array" ref="N71">_xlfn.IFS(
OR(ISNUMBER(SEARCH("email",D71)),ISNUMBER(SEARCH("email",F71)),ISNUMBER(SEARCH("polish",D71)),ISNUMBER(SEARCH("rewrite",F71)),ISNUMBER(SEARCH("copy",F71))),"Writing and comms",
OR(ISNUMBER(SEARCH("research",F71)),ISNUMBER(SEARCH("intel",F71)),ISNUMBER(SEARCH("company",D71)),ISNUMBER(SEARCH("digger",D71))),"Research and intel",
OR(ISNUMBER(SEARCH("prompt",D71)),ISNUMBER(SEARCH("prompt",F71))),"Prompting help",
OR(ISNUMBER(SEARCH("role",D71)),ISNUMBER(SEARCH("scorecard",F71)),ISNUMBER(SEARCH("competenc",F71))),"Role and leadership advisory",
OR(ISNUMBER(SEARCH("meeting",F71)),ISNUMBER(SEARCH("notes",F71)),ISNUMBER(SEARCH("summary",F71))),"Meeting notes and summarization",
TRUE,"Other or fragmented"
)</f>
        <v>Other or fragmented</v>
      </c>
      <c r="O71" s="3" t="s">
        <v>29</v>
      </c>
      <c r="P71" s="3"/>
    </row>
    <row r="72" spans="1:16" x14ac:dyDescent="0.25">
      <c r="A72" t="s">
        <v>15</v>
      </c>
      <c r="B72" s="1">
        <v>45992</v>
      </c>
      <c r="C72" s="1">
        <v>46022</v>
      </c>
      <c r="D72" t="s">
        <v>126</v>
      </c>
      <c r="E72" t="s">
        <v>24</v>
      </c>
      <c r="F72" t="s">
        <v>127</v>
      </c>
      <c r="G72">
        <v>1</v>
      </c>
      <c r="H72" s="1">
        <v>45995</v>
      </c>
      <c r="I72" s="1">
        <v>45995</v>
      </c>
      <c r="J72">
        <v>18</v>
      </c>
      <c r="K72">
        <v>1</v>
      </c>
      <c r="L72" t="s">
        <v>128</v>
      </c>
      <c r="M72" s="9" t="s">
        <v>19</v>
      </c>
      <c r="N72" s="3" t="str" cm="1">
        <f t="array" ref="N72">_xlfn.IFS(
OR(ISNUMBER(SEARCH("email",D72)),ISNUMBER(SEARCH("email",F72)),ISNUMBER(SEARCH("polish",D72)),ISNUMBER(SEARCH("rewrite",F72)),ISNUMBER(SEARCH("copy",F72))),"Writing and comms",
OR(ISNUMBER(SEARCH("research",F72)),ISNUMBER(SEARCH("intel",F72)),ISNUMBER(SEARCH("company",D72)),ISNUMBER(SEARCH("digger",D72))),"Research and intel",
OR(ISNUMBER(SEARCH("prompt",D72)),ISNUMBER(SEARCH("prompt",F72))),"Prompting help",
OR(ISNUMBER(SEARCH("role",D72)),ISNUMBER(SEARCH("scorecard",F72)),ISNUMBER(SEARCH("competenc",F72))),"Role and leadership advisory",
OR(ISNUMBER(SEARCH("meeting",F72)),ISNUMBER(SEARCH("notes",F72)),ISNUMBER(SEARCH("summary",F72))),"Meeting notes and summarization",
TRUE,"Other or fragmented"
)</f>
        <v>Other or fragmented</v>
      </c>
      <c r="O72" s="3" t="s">
        <v>29</v>
      </c>
      <c r="P72" s="3"/>
    </row>
    <row r="73" spans="1:16" x14ac:dyDescent="0.25">
      <c r="A73" t="s">
        <v>15</v>
      </c>
      <c r="B73" s="1">
        <v>45992</v>
      </c>
      <c r="C73" s="1">
        <v>46022</v>
      </c>
      <c r="D73" t="s">
        <v>129</v>
      </c>
      <c r="E73" t="s">
        <v>24</v>
      </c>
      <c r="F73" t="s">
        <v>130</v>
      </c>
      <c r="G73">
        <v>1</v>
      </c>
      <c r="H73" s="1">
        <v>46003</v>
      </c>
      <c r="I73" s="1">
        <v>46008</v>
      </c>
      <c r="J73">
        <v>35</v>
      </c>
      <c r="K73">
        <v>1</v>
      </c>
      <c r="L73" t="s">
        <v>131</v>
      </c>
      <c r="M73" s="10" t="s">
        <v>19</v>
      </c>
      <c r="N73" s="3" t="str" cm="1">
        <f t="array" ref="N73">_xlfn.IFS(
OR(ISNUMBER(SEARCH("email",D73)),ISNUMBER(SEARCH("email",F73)),ISNUMBER(SEARCH("polish",D73)),ISNUMBER(SEARCH("rewrite",F73)),ISNUMBER(SEARCH("copy",F73))),"Writing and comms",
OR(ISNUMBER(SEARCH("research",F73)),ISNUMBER(SEARCH("intel",F73)),ISNUMBER(SEARCH("company",D73)),ISNUMBER(SEARCH("digger",D73))),"Research and intel",
OR(ISNUMBER(SEARCH("prompt",D73)),ISNUMBER(SEARCH("prompt",F73))),"Prompting help",
OR(ISNUMBER(SEARCH("role",D73)),ISNUMBER(SEARCH("scorecard",F73)),ISNUMBER(SEARCH("competenc",F73))),"Role and leadership advisory",
OR(ISNUMBER(SEARCH("meeting",F73)),ISNUMBER(SEARCH("notes",F73)),ISNUMBER(SEARCH("summary",F73))),"Meeting notes and summarization",
TRUE,"Other or fragmented"
)</f>
        <v>Prompting help</v>
      </c>
      <c r="O73" s="3" t="s">
        <v>29</v>
      </c>
      <c r="P73" s="3"/>
    </row>
    <row r="74" spans="1:16" x14ac:dyDescent="0.25">
      <c r="A74" t="s">
        <v>15</v>
      </c>
      <c r="B74" s="1">
        <v>45992</v>
      </c>
      <c r="C74" s="1">
        <v>46022</v>
      </c>
      <c r="E74" t="s">
        <v>24</v>
      </c>
      <c r="G74">
        <v>0</v>
      </c>
      <c r="J74">
        <v>0</v>
      </c>
      <c r="K74">
        <v>0</v>
      </c>
      <c r="L74" t="s">
        <v>131</v>
      </c>
      <c r="M74" s="9" t="s">
        <v>19</v>
      </c>
      <c r="N74" s="3" t="str" cm="1">
        <f t="array" ref="N74">_xlfn.IFS(
OR(ISNUMBER(SEARCH("email",D74)),ISNUMBER(SEARCH("email",F74)),ISNUMBER(SEARCH("polish",D74)),ISNUMBER(SEARCH("rewrite",F74)),ISNUMBER(SEARCH("copy",F74))),"Writing and comms",
OR(ISNUMBER(SEARCH("research",F74)),ISNUMBER(SEARCH("intel",F74)),ISNUMBER(SEARCH("company",D74)),ISNUMBER(SEARCH("digger",D74))),"Research and intel",
OR(ISNUMBER(SEARCH("prompt",D74)),ISNUMBER(SEARCH("prompt",F74))),"Prompting help",
OR(ISNUMBER(SEARCH("role",D74)),ISNUMBER(SEARCH("scorecard",F74)),ISNUMBER(SEARCH("competenc",F74))),"Role and leadership advisory",
OR(ISNUMBER(SEARCH("meeting",F74)),ISNUMBER(SEARCH("notes",F74)),ISNUMBER(SEARCH("summary",F74))),"Meeting notes and summarization",
TRUE,"Other or fragmented"
)</f>
        <v>Other or fragmented</v>
      </c>
      <c r="O74" s="3" t="s">
        <v>29</v>
      </c>
      <c r="P74" s="3"/>
    </row>
    <row r="75" spans="1:16" x14ac:dyDescent="0.25">
      <c r="A75" t="s">
        <v>15</v>
      </c>
      <c r="B75" s="1">
        <v>45992</v>
      </c>
      <c r="C75" s="1">
        <v>46022</v>
      </c>
      <c r="D75" t="s">
        <v>132</v>
      </c>
      <c r="E75" t="s">
        <v>17</v>
      </c>
      <c r="F75" t="s">
        <v>133</v>
      </c>
      <c r="G75">
        <v>1</v>
      </c>
      <c r="H75" s="1">
        <v>45992</v>
      </c>
      <c r="I75" s="1">
        <v>46022</v>
      </c>
      <c r="J75">
        <v>2810</v>
      </c>
      <c r="K75">
        <v>149</v>
      </c>
      <c r="L75" t="s">
        <v>134</v>
      </c>
      <c r="M75" s="10" t="s">
        <v>12</v>
      </c>
      <c r="N75" s="3" t="str" cm="1">
        <f t="array" ref="N75">_xlfn.IFS(
OR(ISNUMBER(SEARCH("email",D75)),ISNUMBER(SEARCH("email",F75)),ISNUMBER(SEARCH("polish",D75)),ISNUMBER(SEARCH("rewrite",F75)),ISNUMBER(SEARCH("copy",F75))),"Writing and comms",
OR(ISNUMBER(SEARCH("research",F75)),ISNUMBER(SEARCH("intel",F75)),ISNUMBER(SEARCH("company",D75)),ISNUMBER(SEARCH("digger",D75))),"Research and intel",
OR(ISNUMBER(SEARCH("prompt",D75)),ISNUMBER(SEARCH("prompt",F75))),"Prompting help",
OR(ISNUMBER(SEARCH("role",D75)),ISNUMBER(SEARCH("scorecard",F75)),ISNUMBER(SEARCH("competenc",F75))),"Role and leadership advisory",
OR(ISNUMBER(SEARCH("meeting",F75)),ISNUMBER(SEARCH("notes",F75)),ISNUMBER(SEARCH("summary",F75))),"Meeting notes and summarization",
TRUE,"Other or fragmented"
)</f>
        <v>Meeting notes and summarization</v>
      </c>
      <c r="O75" s="3" t="s">
        <v>29</v>
      </c>
      <c r="P75" s="3"/>
    </row>
    <row r="76" spans="1:16" x14ac:dyDescent="0.25">
      <c r="A76" t="s">
        <v>15</v>
      </c>
      <c r="B76" s="1">
        <v>45992</v>
      </c>
      <c r="C76" s="1">
        <v>46022</v>
      </c>
      <c r="D76" t="s">
        <v>135</v>
      </c>
      <c r="E76" t="s">
        <v>17</v>
      </c>
      <c r="F76" t="s">
        <v>136</v>
      </c>
      <c r="G76">
        <v>1</v>
      </c>
      <c r="H76" s="1">
        <v>45992</v>
      </c>
      <c r="I76" s="1">
        <v>46010</v>
      </c>
      <c r="J76">
        <v>277</v>
      </c>
      <c r="K76">
        <v>36</v>
      </c>
      <c r="L76" t="s">
        <v>134</v>
      </c>
      <c r="M76" s="9" t="s">
        <v>12</v>
      </c>
      <c r="N76" s="3" t="str" cm="1">
        <f t="array" ref="N76">_xlfn.IFS(
OR(ISNUMBER(SEARCH("email",D76)),ISNUMBER(SEARCH("email",F76)),ISNUMBER(SEARCH("polish",D76)),ISNUMBER(SEARCH("rewrite",F76)),ISNUMBER(SEARCH("copy",F76))),"Writing and comms",
OR(ISNUMBER(SEARCH("research",F76)),ISNUMBER(SEARCH("intel",F76)),ISNUMBER(SEARCH("company",D76)),ISNUMBER(SEARCH("digger",D76))),"Research and intel",
OR(ISNUMBER(SEARCH("prompt",D76)),ISNUMBER(SEARCH("prompt",F76))),"Prompting help",
OR(ISNUMBER(SEARCH("role",D76)),ISNUMBER(SEARCH("scorecard",F76)),ISNUMBER(SEARCH("competenc",F76))),"Role and leadership advisory",
OR(ISNUMBER(SEARCH("meeting",F76)),ISNUMBER(SEARCH("notes",F76)),ISNUMBER(SEARCH("summary",F76))),"Meeting notes and summarization",
TRUE,"Other or fragmented"
)</f>
        <v>Other or fragmented</v>
      </c>
      <c r="O76" s="3" t="s">
        <v>29</v>
      </c>
      <c r="P76" s="3"/>
    </row>
    <row r="77" spans="1:16" x14ac:dyDescent="0.25">
      <c r="A77" t="s">
        <v>15</v>
      </c>
      <c r="B77" s="1">
        <v>45992</v>
      </c>
      <c r="C77" s="1">
        <v>46022</v>
      </c>
      <c r="D77" t="s">
        <v>137</v>
      </c>
      <c r="E77" t="s">
        <v>17</v>
      </c>
      <c r="F77" t="s">
        <v>138</v>
      </c>
      <c r="G77">
        <v>1</v>
      </c>
      <c r="H77" s="1">
        <v>45994</v>
      </c>
      <c r="I77" s="1">
        <v>46017</v>
      </c>
      <c r="J77">
        <v>93</v>
      </c>
      <c r="K77">
        <v>11</v>
      </c>
      <c r="L77" t="s">
        <v>134</v>
      </c>
      <c r="M77" s="10" t="s">
        <v>19</v>
      </c>
      <c r="N77" s="3" t="str" cm="1">
        <f t="array" ref="N77">_xlfn.IFS(
OR(ISNUMBER(SEARCH("email",D77)),ISNUMBER(SEARCH("email",F77)),ISNUMBER(SEARCH("polish",D77)),ISNUMBER(SEARCH("rewrite",F77)),ISNUMBER(SEARCH("copy",F77))),"Writing and comms",
OR(ISNUMBER(SEARCH("research",F77)),ISNUMBER(SEARCH("intel",F77)),ISNUMBER(SEARCH("company",D77)),ISNUMBER(SEARCH("digger",D77))),"Research and intel",
OR(ISNUMBER(SEARCH("prompt",D77)),ISNUMBER(SEARCH("prompt",F77))),"Prompting help",
OR(ISNUMBER(SEARCH("role",D77)),ISNUMBER(SEARCH("scorecard",F77)),ISNUMBER(SEARCH("competenc",F77))),"Role and leadership advisory",
OR(ISNUMBER(SEARCH("meeting",F77)),ISNUMBER(SEARCH("notes",F77)),ISNUMBER(SEARCH("summary",F77))),"Meeting notes and summarization",
TRUE,"Other or fragmented"
)</f>
        <v>Other or fragmented</v>
      </c>
      <c r="O77" s="3" t="s">
        <v>29</v>
      </c>
      <c r="P77" s="3"/>
    </row>
    <row r="78" spans="1:16" x14ac:dyDescent="0.25">
      <c r="A78" t="s">
        <v>15</v>
      </c>
      <c r="B78" s="1">
        <v>45992</v>
      </c>
      <c r="C78" s="1">
        <v>46022</v>
      </c>
      <c r="E78" t="s">
        <v>24</v>
      </c>
      <c r="F78" t="s">
        <v>139</v>
      </c>
      <c r="G78">
        <v>0</v>
      </c>
      <c r="J78">
        <v>0</v>
      </c>
      <c r="K78">
        <v>0</v>
      </c>
      <c r="L78" t="s">
        <v>134</v>
      </c>
      <c r="M78" s="9" t="s">
        <v>19</v>
      </c>
      <c r="N78" s="3" t="str" cm="1">
        <f t="array" ref="N78">_xlfn.IFS(
OR(ISNUMBER(SEARCH("email",D78)),ISNUMBER(SEARCH("email",F78)),ISNUMBER(SEARCH("polish",D78)),ISNUMBER(SEARCH("rewrite",F78)),ISNUMBER(SEARCH("copy",F78))),"Writing and comms",
OR(ISNUMBER(SEARCH("research",F78)),ISNUMBER(SEARCH("intel",F78)),ISNUMBER(SEARCH("company",D78)),ISNUMBER(SEARCH("digger",D78))),"Research and intel",
OR(ISNUMBER(SEARCH("prompt",D78)),ISNUMBER(SEARCH("prompt",F78))),"Prompting help",
OR(ISNUMBER(SEARCH("role",D78)),ISNUMBER(SEARCH("scorecard",F78)),ISNUMBER(SEARCH("competenc",F78))),"Role and leadership advisory",
OR(ISNUMBER(SEARCH("meeting",F78)),ISNUMBER(SEARCH("notes",F78)),ISNUMBER(SEARCH("summary",F78))),"Meeting notes and summarization",
TRUE,"Other or fragmented"
)</f>
        <v>Other or fragmented</v>
      </c>
      <c r="O78" s="3" t="s">
        <v>29</v>
      </c>
      <c r="P78" s="3"/>
    </row>
    <row r="79" spans="1:16" x14ac:dyDescent="0.25">
      <c r="A79" t="s">
        <v>15</v>
      </c>
      <c r="B79" s="1">
        <v>45992</v>
      </c>
      <c r="C79" s="1">
        <v>46022</v>
      </c>
      <c r="D79" t="s">
        <v>140</v>
      </c>
      <c r="E79" t="s">
        <v>24</v>
      </c>
      <c r="F79" t="s">
        <v>136</v>
      </c>
      <c r="G79">
        <v>0</v>
      </c>
      <c r="J79">
        <v>0</v>
      </c>
      <c r="K79">
        <v>0</v>
      </c>
      <c r="L79" t="s">
        <v>134</v>
      </c>
      <c r="M79" s="10" t="s">
        <v>12</v>
      </c>
      <c r="N79" s="3" t="str" cm="1">
        <f t="array" ref="N79">_xlfn.IFS(
OR(ISNUMBER(SEARCH("email",D79)),ISNUMBER(SEARCH("email",F79)),ISNUMBER(SEARCH("polish",D79)),ISNUMBER(SEARCH("rewrite",F79)),ISNUMBER(SEARCH("copy",F79))),"Writing and comms",
OR(ISNUMBER(SEARCH("research",F79)),ISNUMBER(SEARCH("intel",F79)),ISNUMBER(SEARCH("company",D79)),ISNUMBER(SEARCH("digger",D79))),"Research and intel",
OR(ISNUMBER(SEARCH("prompt",D79)),ISNUMBER(SEARCH("prompt",F79))),"Prompting help",
OR(ISNUMBER(SEARCH("role",D79)),ISNUMBER(SEARCH("scorecard",F79)),ISNUMBER(SEARCH("competenc",F79))),"Role and leadership advisory",
OR(ISNUMBER(SEARCH("meeting",F79)),ISNUMBER(SEARCH("notes",F79)),ISNUMBER(SEARCH("summary",F79))),"Meeting notes and summarization",
TRUE,"Other or fragmented"
)</f>
        <v>Other or fragmented</v>
      </c>
      <c r="O79" s="3" t="s">
        <v>29</v>
      </c>
      <c r="P79" s="3"/>
    </row>
    <row r="80" spans="1:16" x14ac:dyDescent="0.25">
      <c r="A80" t="s">
        <v>15</v>
      </c>
      <c r="B80" s="1">
        <v>45992</v>
      </c>
      <c r="C80" s="1">
        <v>46022</v>
      </c>
      <c r="D80" t="s">
        <v>141</v>
      </c>
      <c r="E80" t="s">
        <v>17</v>
      </c>
      <c r="F80" t="s">
        <v>142</v>
      </c>
      <c r="G80">
        <v>0</v>
      </c>
      <c r="J80">
        <v>0</v>
      </c>
      <c r="K80">
        <v>0</v>
      </c>
      <c r="L80" t="s">
        <v>134</v>
      </c>
      <c r="M80" s="9" t="s">
        <v>19</v>
      </c>
      <c r="N80" s="3" t="str" cm="1">
        <f t="array" ref="N80">_xlfn.IFS(
OR(ISNUMBER(SEARCH("email",D80)),ISNUMBER(SEARCH("email",F80)),ISNUMBER(SEARCH("polish",D80)),ISNUMBER(SEARCH("rewrite",F80)),ISNUMBER(SEARCH("copy",F80))),"Writing and comms",
OR(ISNUMBER(SEARCH("research",F80)),ISNUMBER(SEARCH("intel",F80)),ISNUMBER(SEARCH("company",D80)),ISNUMBER(SEARCH("digger",D80))),"Research and intel",
OR(ISNUMBER(SEARCH("prompt",D80)),ISNUMBER(SEARCH("prompt",F80))),"Prompting help",
OR(ISNUMBER(SEARCH("role",D80)),ISNUMBER(SEARCH("scorecard",F80)),ISNUMBER(SEARCH("competenc",F80))),"Role and leadership advisory",
OR(ISNUMBER(SEARCH("meeting",F80)),ISNUMBER(SEARCH("notes",F80)),ISNUMBER(SEARCH("summary",F80))),"Meeting notes and summarization",
TRUE,"Other or fragmented"
)</f>
        <v>Meeting notes and summarization</v>
      </c>
      <c r="O80" s="3" t="s">
        <v>29</v>
      </c>
      <c r="P80" s="3"/>
    </row>
    <row r="81" spans="1:16" x14ac:dyDescent="0.25">
      <c r="A81" t="s">
        <v>15</v>
      </c>
      <c r="B81" s="1">
        <v>45992</v>
      </c>
      <c r="C81" s="1">
        <v>46022</v>
      </c>
      <c r="D81" t="s">
        <v>143</v>
      </c>
      <c r="E81" t="s">
        <v>24</v>
      </c>
      <c r="F81" t="s">
        <v>144</v>
      </c>
      <c r="G81">
        <v>0</v>
      </c>
      <c r="J81">
        <v>0</v>
      </c>
      <c r="K81">
        <v>0</v>
      </c>
      <c r="L81" t="s">
        <v>134</v>
      </c>
      <c r="M81" s="10" t="s">
        <v>19</v>
      </c>
      <c r="N81" s="3" t="str" cm="1">
        <f t="array" ref="N81">_xlfn.IFS(
OR(ISNUMBER(SEARCH("email",D81)),ISNUMBER(SEARCH("email",F81)),ISNUMBER(SEARCH("polish",D81)),ISNUMBER(SEARCH("rewrite",F81)),ISNUMBER(SEARCH("copy",F81))),"Writing and comms",
OR(ISNUMBER(SEARCH("research",F81)),ISNUMBER(SEARCH("intel",F81)),ISNUMBER(SEARCH("company",D81)),ISNUMBER(SEARCH("digger",D81))),"Research and intel",
OR(ISNUMBER(SEARCH("prompt",D81)),ISNUMBER(SEARCH("prompt",F81))),"Prompting help",
OR(ISNUMBER(SEARCH("role",D81)),ISNUMBER(SEARCH("scorecard",F81)),ISNUMBER(SEARCH("competenc",F81))),"Role and leadership advisory",
OR(ISNUMBER(SEARCH("meeting",F81)),ISNUMBER(SEARCH("notes",F81)),ISNUMBER(SEARCH("summary",F81))),"Meeting notes and summarization",
TRUE,"Other or fragmented"
)</f>
        <v>Other or fragmented</v>
      </c>
      <c r="O81" s="3" t="s">
        <v>29</v>
      </c>
      <c r="P81" s="3"/>
    </row>
    <row r="82" spans="1:16" x14ac:dyDescent="0.25">
      <c r="A82" t="s">
        <v>15</v>
      </c>
      <c r="B82" s="1">
        <v>45992</v>
      </c>
      <c r="C82" s="1">
        <v>46022</v>
      </c>
      <c r="D82" t="s">
        <v>145</v>
      </c>
      <c r="E82" t="s">
        <v>17</v>
      </c>
      <c r="F82" t="s">
        <v>146</v>
      </c>
      <c r="G82">
        <v>0</v>
      </c>
      <c r="J82">
        <v>0</v>
      </c>
      <c r="K82">
        <v>0</v>
      </c>
      <c r="L82" t="s">
        <v>134</v>
      </c>
      <c r="M82" s="9" t="s">
        <v>19</v>
      </c>
      <c r="N82" s="3" t="str" cm="1">
        <f t="array" ref="N82">_xlfn.IFS(
OR(ISNUMBER(SEARCH("email",D82)),ISNUMBER(SEARCH("email",F82)),ISNUMBER(SEARCH("polish",D82)),ISNUMBER(SEARCH("rewrite",F82)),ISNUMBER(SEARCH("copy",F82))),"Writing and comms",
OR(ISNUMBER(SEARCH("research",F82)),ISNUMBER(SEARCH("intel",F82)),ISNUMBER(SEARCH("company",D82)),ISNUMBER(SEARCH("digger",D82))),"Research and intel",
OR(ISNUMBER(SEARCH("prompt",D82)),ISNUMBER(SEARCH("prompt",F82))),"Prompting help",
OR(ISNUMBER(SEARCH("role",D82)),ISNUMBER(SEARCH("scorecard",F82)),ISNUMBER(SEARCH("competenc",F82))),"Role and leadership advisory",
OR(ISNUMBER(SEARCH("meeting",F82)),ISNUMBER(SEARCH("notes",F82)),ISNUMBER(SEARCH("summary",F82))),"Meeting notes and summarization",
TRUE,"Other or fragmented"
)</f>
        <v>Prompting help</v>
      </c>
      <c r="O82" s="3" t="s">
        <v>29</v>
      </c>
      <c r="P82" s="3"/>
    </row>
    <row r="83" spans="1:16" x14ac:dyDescent="0.25">
      <c r="A83" t="s">
        <v>15</v>
      </c>
      <c r="B83" s="1">
        <v>45992</v>
      </c>
      <c r="C83" s="1">
        <v>46022</v>
      </c>
      <c r="D83" t="s">
        <v>147</v>
      </c>
      <c r="E83" t="s">
        <v>17</v>
      </c>
      <c r="F83" t="s">
        <v>148</v>
      </c>
      <c r="G83">
        <v>0</v>
      </c>
      <c r="J83">
        <v>0</v>
      </c>
      <c r="K83">
        <v>0</v>
      </c>
      <c r="L83" t="s">
        <v>134</v>
      </c>
      <c r="M83" s="10" t="s">
        <v>19</v>
      </c>
      <c r="N83" s="3" t="str" cm="1">
        <f t="array" ref="N83">_xlfn.IFS(
OR(ISNUMBER(SEARCH("email",D83)),ISNUMBER(SEARCH("email",F83)),ISNUMBER(SEARCH("polish",D83)),ISNUMBER(SEARCH("rewrite",F83)),ISNUMBER(SEARCH("copy",F83))),"Writing and comms",
OR(ISNUMBER(SEARCH("research",F83)),ISNUMBER(SEARCH("intel",F83)),ISNUMBER(SEARCH("company",D83)),ISNUMBER(SEARCH("digger",D83))),"Research and intel",
OR(ISNUMBER(SEARCH("prompt",D83)),ISNUMBER(SEARCH("prompt",F83))),"Prompting help",
OR(ISNUMBER(SEARCH("role",D83)),ISNUMBER(SEARCH("scorecard",F83)),ISNUMBER(SEARCH("competenc",F83))),"Role and leadership advisory",
OR(ISNUMBER(SEARCH("meeting",F83)),ISNUMBER(SEARCH("notes",F83)),ISNUMBER(SEARCH("summary",F83))),"Meeting notes and summarization",
TRUE,"Other or fragmented"
)</f>
        <v>Prompting help</v>
      </c>
      <c r="O83" s="3" t="s">
        <v>29</v>
      </c>
      <c r="P83" s="3"/>
    </row>
    <row r="84" spans="1:16" x14ac:dyDescent="0.25">
      <c r="A84" t="s">
        <v>15</v>
      </c>
      <c r="B84" s="1">
        <v>45992</v>
      </c>
      <c r="C84" s="1">
        <v>46022</v>
      </c>
      <c r="D84" t="s">
        <v>149</v>
      </c>
      <c r="E84" t="s">
        <v>24</v>
      </c>
      <c r="F84" t="s">
        <v>150</v>
      </c>
      <c r="G84">
        <v>0</v>
      </c>
      <c r="J84">
        <v>0</v>
      </c>
      <c r="K84">
        <v>0</v>
      </c>
      <c r="L84" t="s">
        <v>134</v>
      </c>
      <c r="M84" s="9" t="s">
        <v>19</v>
      </c>
      <c r="N84" s="3" t="str" cm="1">
        <f t="array" ref="N84">_xlfn.IFS(
OR(ISNUMBER(SEARCH("email",D84)),ISNUMBER(SEARCH("email",F84)),ISNUMBER(SEARCH("polish",D84)),ISNUMBER(SEARCH("rewrite",F84)),ISNUMBER(SEARCH("copy",F84))),"Writing and comms",
OR(ISNUMBER(SEARCH("research",F84)),ISNUMBER(SEARCH("intel",F84)),ISNUMBER(SEARCH("company",D84)),ISNUMBER(SEARCH("digger",D84))),"Research and intel",
OR(ISNUMBER(SEARCH("prompt",D84)),ISNUMBER(SEARCH("prompt",F84))),"Prompting help",
OR(ISNUMBER(SEARCH("role",D84)),ISNUMBER(SEARCH("scorecard",F84)),ISNUMBER(SEARCH("competenc",F84))),"Role and leadership advisory",
OR(ISNUMBER(SEARCH("meeting",F84)),ISNUMBER(SEARCH("notes",F84)),ISNUMBER(SEARCH("summary",F84))),"Meeting notes and summarization",
TRUE,"Other or fragmented"
)</f>
        <v>Other or fragmented</v>
      </c>
      <c r="O84" s="3" t="s">
        <v>29</v>
      </c>
      <c r="P84" s="3"/>
    </row>
    <row r="85" spans="1:16" x14ac:dyDescent="0.25">
      <c r="A85" t="s">
        <v>15</v>
      </c>
      <c r="B85" s="1">
        <v>45992</v>
      </c>
      <c r="C85" s="1">
        <v>46022</v>
      </c>
      <c r="E85" t="s">
        <v>24</v>
      </c>
      <c r="F85" t="s">
        <v>151</v>
      </c>
      <c r="G85">
        <v>0</v>
      </c>
      <c r="J85">
        <v>0</v>
      </c>
      <c r="K85">
        <v>0</v>
      </c>
      <c r="L85" t="s">
        <v>134</v>
      </c>
      <c r="M85" s="10" t="s">
        <v>19</v>
      </c>
      <c r="N85" s="3" t="str" cm="1">
        <f t="array" ref="N85">_xlfn.IFS(
OR(ISNUMBER(SEARCH("email",D85)),ISNUMBER(SEARCH("email",F85)),ISNUMBER(SEARCH("polish",D85)),ISNUMBER(SEARCH("rewrite",F85)),ISNUMBER(SEARCH("copy",F85))),"Writing and comms",
OR(ISNUMBER(SEARCH("research",F85)),ISNUMBER(SEARCH("intel",F85)),ISNUMBER(SEARCH("company",D85)),ISNUMBER(SEARCH("digger",D85))),"Research and intel",
OR(ISNUMBER(SEARCH("prompt",D85)),ISNUMBER(SEARCH("prompt",F85))),"Prompting help",
OR(ISNUMBER(SEARCH("role",D85)),ISNUMBER(SEARCH("scorecard",F85)),ISNUMBER(SEARCH("competenc",F85))),"Role and leadership advisory",
OR(ISNUMBER(SEARCH("meeting",F85)),ISNUMBER(SEARCH("notes",F85)),ISNUMBER(SEARCH("summary",F85))),"Meeting notes and summarization",
TRUE,"Other or fragmented"
)</f>
        <v>Other or fragmented</v>
      </c>
      <c r="O85" s="3" t="s">
        <v>29</v>
      </c>
      <c r="P85" s="3"/>
    </row>
    <row r="86" spans="1:16" x14ac:dyDescent="0.25">
      <c r="A86" t="s">
        <v>15</v>
      </c>
      <c r="B86" s="1">
        <v>45992</v>
      </c>
      <c r="C86" s="1">
        <v>46022</v>
      </c>
      <c r="D86" t="s">
        <v>152</v>
      </c>
      <c r="E86" t="s">
        <v>17</v>
      </c>
      <c r="F86" t="s">
        <v>133</v>
      </c>
      <c r="G86">
        <v>0</v>
      </c>
      <c r="J86">
        <v>0</v>
      </c>
      <c r="K86">
        <v>0</v>
      </c>
      <c r="L86" t="s">
        <v>134</v>
      </c>
      <c r="M86" s="9" t="s">
        <v>19</v>
      </c>
      <c r="N86" s="3" t="str" cm="1">
        <f t="array" ref="N86">_xlfn.IFS(
OR(ISNUMBER(SEARCH("email",D86)),ISNUMBER(SEARCH("email",F86)),ISNUMBER(SEARCH("polish",D86)),ISNUMBER(SEARCH("rewrite",F86)),ISNUMBER(SEARCH("copy",F86))),"Writing and comms",
OR(ISNUMBER(SEARCH("research",F86)),ISNUMBER(SEARCH("intel",F86)),ISNUMBER(SEARCH("company",D86)),ISNUMBER(SEARCH("digger",D86))),"Research and intel",
OR(ISNUMBER(SEARCH("prompt",D86)),ISNUMBER(SEARCH("prompt",F86))),"Prompting help",
OR(ISNUMBER(SEARCH("role",D86)),ISNUMBER(SEARCH("scorecard",F86)),ISNUMBER(SEARCH("competenc",F86))),"Role and leadership advisory",
OR(ISNUMBER(SEARCH("meeting",F86)),ISNUMBER(SEARCH("notes",F86)),ISNUMBER(SEARCH("summary",F86))),"Meeting notes and summarization",
TRUE,"Other or fragmented"
)</f>
        <v>Meeting notes and summarization</v>
      </c>
      <c r="O86" s="3" t="s">
        <v>29</v>
      </c>
      <c r="P86" s="3"/>
    </row>
    <row r="87" spans="1:16" x14ac:dyDescent="0.25">
      <c r="A87" t="s">
        <v>15</v>
      </c>
      <c r="B87" s="1">
        <v>45992</v>
      </c>
      <c r="C87" s="1">
        <v>46022</v>
      </c>
      <c r="D87" t="s">
        <v>153</v>
      </c>
      <c r="E87" t="s">
        <v>24</v>
      </c>
      <c r="F87" t="s">
        <v>144</v>
      </c>
      <c r="G87">
        <v>0</v>
      </c>
      <c r="J87">
        <v>0</v>
      </c>
      <c r="K87">
        <v>0</v>
      </c>
      <c r="L87" t="s">
        <v>134</v>
      </c>
      <c r="M87" s="10" t="s">
        <v>19</v>
      </c>
      <c r="N87" s="3" t="str" cm="1">
        <f t="array" ref="N87">_xlfn.IFS(
OR(ISNUMBER(SEARCH("email",D87)),ISNUMBER(SEARCH("email",F87)),ISNUMBER(SEARCH("polish",D87)),ISNUMBER(SEARCH("rewrite",F87)),ISNUMBER(SEARCH("copy",F87))),"Writing and comms",
OR(ISNUMBER(SEARCH("research",F87)),ISNUMBER(SEARCH("intel",F87)),ISNUMBER(SEARCH("company",D87)),ISNUMBER(SEARCH("digger",D87))),"Research and intel",
OR(ISNUMBER(SEARCH("prompt",D87)),ISNUMBER(SEARCH("prompt",F87))),"Prompting help",
OR(ISNUMBER(SEARCH("role",D87)),ISNUMBER(SEARCH("scorecard",F87)),ISNUMBER(SEARCH("competenc",F87))),"Role and leadership advisory",
OR(ISNUMBER(SEARCH("meeting",F87)),ISNUMBER(SEARCH("notes",F87)),ISNUMBER(SEARCH("summary",F87))),"Meeting notes and summarization",
TRUE,"Other or fragmented"
)</f>
        <v>Other or fragmented</v>
      </c>
      <c r="O87" s="3" t="s">
        <v>29</v>
      </c>
      <c r="P87" s="3"/>
    </row>
    <row r="88" spans="1:16" x14ac:dyDescent="0.25">
      <c r="A88" t="s">
        <v>15</v>
      </c>
      <c r="B88" s="1">
        <v>45992</v>
      </c>
      <c r="C88" s="1">
        <v>46022</v>
      </c>
      <c r="D88" t="s">
        <v>154</v>
      </c>
      <c r="E88" t="s">
        <v>17</v>
      </c>
      <c r="F88" t="s">
        <v>133</v>
      </c>
      <c r="G88">
        <v>0</v>
      </c>
      <c r="J88">
        <v>0</v>
      </c>
      <c r="K88">
        <v>0</v>
      </c>
      <c r="L88" t="s">
        <v>134</v>
      </c>
      <c r="M88" s="9" t="s">
        <v>19</v>
      </c>
      <c r="N88" s="3" t="str" cm="1">
        <f t="array" ref="N88">_xlfn.IFS(
OR(ISNUMBER(SEARCH("email",D88)),ISNUMBER(SEARCH("email",F88)),ISNUMBER(SEARCH("polish",D88)),ISNUMBER(SEARCH("rewrite",F88)),ISNUMBER(SEARCH("copy",F88))),"Writing and comms",
OR(ISNUMBER(SEARCH("research",F88)),ISNUMBER(SEARCH("intel",F88)),ISNUMBER(SEARCH("company",D88)),ISNUMBER(SEARCH("digger",D88))),"Research and intel",
OR(ISNUMBER(SEARCH("prompt",D88)),ISNUMBER(SEARCH("prompt",F88))),"Prompting help",
OR(ISNUMBER(SEARCH("role",D88)),ISNUMBER(SEARCH("scorecard",F88)),ISNUMBER(SEARCH("competenc",F88))),"Role and leadership advisory",
OR(ISNUMBER(SEARCH("meeting",F88)),ISNUMBER(SEARCH("notes",F88)),ISNUMBER(SEARCH("summary",F88))),"Meeting notes and summarization",
TRUE,"Other or fragmented"
)</f>
        <v>Meeting notes and summarization</v>
      </c>
      <c r="O88" s="3" t="s">
        <v>29</v>
      </c>
      <c r="P88" s="3"/>
    </row>
    <row r="89" spans="1:16" x14ac:dyDescent="0.25">
      <c r="A89" t="s">
        <v>15</v>
      </c>
      <c r="B89" s="1">
        <v>45992</v>
      </c>
      <c r="C89" s="1">
        <v>46022</v>
      </c>
      <c r="D89" t="s">
        <v>143</v>
      </c>
      <c r="E89" t="s">
        <v>17</v>
      </c>
      <c r="F89" t="s">
        <v>144</v>
      </c>
      <c r="G89">
        <v>0</v>
      </c>
      <c r="J89">
        <v>0</v>
      </c>
      <c r="K89">
        <v>0</v>
      </c>
      <c r="L89" t="s">
        <v>134</v>
      </c>
      <c r="M89" s="10" t="s">
        <v>19</v>
      </c>
      <c r="N89" s="3" t="str" cm="1">
        <f t="array" ref="N89">_xlfn.IFS(
OR(ISNUMBER(SEARCH("email",D89)),ISNUMBER(SEARCH("email",F89)),ISNUMBER(SEARCH("polish",D89)),ISNUMBER(SEARCH("rewrite",F89)),ISNUMBER(SEARCH("copy",F89))),"Writing and comms",
OR(ISNUMBER(SEARCH("research",F89)),ISNUMBER(SEARCH("intel",F89)),ISNUMBER(SEARCH("company",D89)),ISNUMBER(SEARCH("digger",D89))),"Research and intel",
OR(ISNUMBER(SEARCH("prompt",D89)),ISNUMBER(SEARCH("prompt",F89))),"Prompting help",
OR(ISNUMBER(SEARCH("role",D89)),ISNUMBER(SEARCH("scorecard",F89)),ISNUMBER(SEARCH("competenc",F89))),"Role and leadership advisory",
OR(ISNUMBER(SEARCH("meeting",F89)),ISNUMBER(SEARCH("notes",F89)),ISNUMBER(SEARCH("summary",F89))),"Meeting notes and summarization",
TRUE,"Other or fragmented"
)</f>
        <v>Other or fragmented</v>
      </c>
      <c r="O89" s="3" t="s">
        <v>29</v>
      </c>
      <c r="P89" s="3"/>
    </row>
    <row r="90" spans="1:16" x14ac:dyDescent="0.25">
      <c r="A90" t="s">
        <v>15</v>
      </c>
      <c r="B90" s="1">
        <v>45992</v>
      </c>
      <c r="C90" s="1">
        <v>46022</v>
      </c>
      <c r="D90" t="s">
        <v>155</v>
      </c>
      <c r="E90" t="s">
        <v>17</v>
      </c>
      <c r="F90" t="s">
        <v>133</v>
      </c>
      <c r="G90">
        <v>0</v>
      </c>
      <c r="J90">
        <v>0</v>
      </c>
      <c r="K90">
        <v>0</v>
      </c>
      <c r="L90" t="s">
        <v>134</v>
      </c>
      <c r="M90" s="9" t="s">
        <v>19</v>
      </c>
      <c r="N90" s="3" t="str" cm="1">
        <f t="array" ref="N90">_xlfn.IFS(
OR(ISNUMBER(SEARCH("email",D90)),ISNUMBER(SEARCH("email",F90)),ISNUMBER(SEARCH("polish",D90)),ISNUMBER(SEARCH("rewrite",F90)),ISNUMBER(SEARCH("copy",F90))),"Writing and comms",
OR(ISNUMBER(SEARCH("research",F90)),ISNUMBER(SEARCH("intel",F90)),ISNUMBER(SEARCH("company",D90)),ISNUMBER(SEARCH("digger",D90))),"Research and intel",
OR(ISNUMBER(SEARCH("prompt",D90)),ISNUMBER(SEARCH("prompt",F90))),"Prompting help",
OR(ISNUMBER(SEARCH("role",D90)),ISNUMBER(SEARCH("scorecard",F90)),ISNUMBER(SEARCH("competenc",F90))),"Role and leadership advisory",
OR(ISNUMBER(SEARCH("meeting",F90)),ISNUMBER(SEARCH("notes",F90)),ISNUMBER(SEARCH("summary",F90))),"Meeting notes and summarization",
TRUE,"Other or fragmented"
)</f>
        <v>Meeting notes and summarization</v>
      </c>
      <c r="O90" s="3" t="s">
        <v>29</v>
      </c>
      <c r="P90" s="3"/>
    </row>
    <row r="91" spans="1:16" x14ac:dyDescent="0.25">
      <c r="A91" t="s">
        <v>15</v>
      </c>
      <c r="B91" s="1">
        <v>45992</v>
      </c>
      <c r="C91" s="1">
        <v>46022</v>
      </c>
      <c r="D91" t="s">
        <v>156</v>
      </c>
      <c r="E91" t="s">
        <v>17</v>
      </c>
      <c r="F91" t="s">
        <v>157</v>
      </c>
      <c r="G91">
        <v>0</v>
      </c>
      <c r="J91">
        <v>0</v>
      </c>
      <c r="K91">
        <v>0</v>
      </c>
      <c r="L91" t="s">
        <v>134</v>
      </c>
      <c r="M91" s="10" t="s">
        <v>19</v>
      </c>
      <c r="N91" s="3" t="str" cm="1">
        <f t="array" ref="N91">_xlfn.IFS(
OR(ISNUMBER(SEARCH("email",D91)),ISNUMBER(SEARCH("email",F91)),ISNUMBER(SEARCH("polish",D91)),ISNUMBER(SEARCH("rewrite",F91)),ISNUMBER(SEARCH("copy",F91))),"Writing and comms",
OR(ISNUMBER(SEARCH("research",F91)),ISNUMBER(SEARCH("intel",F91)),ISNUMBER(SEARCH("company",D91)),ISNUMBER(SEARCH("digger",D91))),"Research and intel",
OR(ISNUMBER(SEARCH("prompt",D91)),ISNUMBER(SEARCH("prompt",F91))),"Prompting help",
OR(ISNUMBER(SEARCH("role",D91)),ISNUMBER(SEARCH("scorecard",F91)),ISNUMBER(SEARCH("competenc",F91))),"Role and leadership advisory",
OR(ISNUMBER(SEARCH("meeting",F91)),ISNUMBER(SEARCH("notes",F91)),ISNUMBER(SEARCH("summary",F91))),"Meeting notes and summarization",
TRUE,"Other or fragmented"
)</f>
        <v>Other or fragmented</v>
      </c>
      <c r="O91" s="3" t="s">
        <v>29</v>
      </c>
      <c r="P91" s="3"/>
    </row>
    <row r="92" spans="1:16" x14ac:dyDescent="0.25">
      <c r="A92" t="s">
        <v>15</v>
      </c>
      <c r="B92" s="1">
        <v>45992</v>
      </c>
      <c r="C92" s="1">
        <v>46022</v>
      </c>
      <c r="D92" t="s">
        <v>158</v>
      </c>
      <c r="E92" t="s">
        <v>17</v>
      </c>
      <c r="F92" t="s">
        <v>138</v>
      </c>
      <c r="G92">
        <v>0</v>
      </c>
      <c r="J92">
        <v>0</v>
      </c>
      <c r="K92">
        <v>0</v>
      </c>
      <c r="L92" t="s">
        <v>134</v>
      </c>
      <c r="M92" s="9" t="s">
        <v>19</v>
      </c>
      <c r="N92" s="3" t="str" cm="1">
        <f t="array" ref="N92">_xlfn.IFS(
OR(ISNUMBER(SEARCH("email",D92)),ISNUMBER(SEARCH("email",F92)),ISNUMBER(SEARCH("polish",D92)),ISNUMBER(SEARCH("rewrite",F92)),ISNUMBER(SEARCH("copy",F92))),"Writing and comms",
OR(ISNUMBER(SEARCH("research",F92)),ISNUMBER(SEARCH("intel",F92)),ISNUMBER(SEARCH("company",D92)),ISNUMBER(SEARCH("digger",D92))),"Research and intel",
OR(ISNUMBER(SEARCH("prompt",D92)),ISNUMBER(SEARCH("prompt",F92))),"Prompting help",
OR(ISNUMBER(SEARCH("role",D92)),ISNUMBER(SEARCH("scorecard",F92)),ISNUMBER(SEARCH("competenc",F92))),"Role and leadership advisory",
OR(ISNUMBER(SEARCH("meeting",F92)),ISNUMBER(SEARCH("notes",F92)),ISNUMBER(SEARCH("summary",F92))),"Meeting notes and summarization",
TRUE,"Other or fragmented"
)</f>
        <v>Other or fragmented</v>
      </c>
      <c r="O92" s="3" t="s">
        <v>29</v>
      </c>
      <c r="P92" s="3"/>
    </row>
    <row r="93" spans="1:16" x14ac:dyDescent="0.25">
      <c r="A93" t="s">
        <v>15</v>
      </c>
      <c r="B93" s="1">
        <v>45992</v>
      </c>
      <c r="C93" s="1">
        <v>46022</v>
      </c>
      <c r="D93" t="s">
        <v>159</v>
      </c>
      <c r="E93" t="s">
        <v>17</v>
      </c>
      <c r="G93">
        <v>0</v>
      </c>
      <c r="J93">
        <v>0</v>
      </c>
      <c r="K93">
        <v>0</v>
      </c>
      <c r="L93" t="s">
        <v>134</v>
      </c>
      <c r="M93" s="10" t="s">
        <v>19</v>
      </c>
      <c r="N93" s="3" t="str" cm="1">
        <f t="array" ref="N93">_xlfn.IFS(
OR(ISNUMBER(SEARCH("email",D93)),ISNUMBER(SEARCH("email",F93)),ISNUMBER(SEARCH("polish",D93)),ISNUMBER(SEARCH("rewrite",F93)),ISNUMBER(SEARCH("copy",F93))),"Writing and comms",
OR(ISNUMBER(SEARCH("research",F93)),ISNUMBER(SEARCH("intel",F93)),ISNUMBER(SEARCH("company",D93)),ISNUMBER(SEARCH("digger",D93))),"Research and intel",
OR(ISNUMBER(SEARCH("prompt",D93)),ISNUMBER(SEARCH("prompt",F93))),"Prompting help",
OR(ISNUMBER(SEARCH("role",D93)),ISNUMBER(SEARCH("scorecard",F93)),ISNUMBER(SEARCH("competenc",F93))),"Role and leadership advisory",
OR(ISNUMBER(SEARCH("meeting",F93)),ISNUMBER(SEARCH("notes",F93)),ISNUMBER(SEARCH("summary",F93))),"Meeting notes and summarization",
TRUE,"Other or fragmented"
)</f>
        <v>Other or fragmented</v>
      </c>
      <c r="O93" s="3" t="s">
        <v>29</v>
      </c>
      <c r="P93" s="3"/>
    </row>
    <row r="94" spans="1:16" x14ac:dyDescent="0.25">
      <c r="A94" t="s">
        <v>15</v>
      </c>
      <c r="B94" s="1">
        <v>45992</v>
      </c>
      <c r="C94" s="1">
        <v>46022</v>
      </c>
      <c r="D94" t="s">
        <v>160</v>
      </c>
      <c r="E94" t="s">
        <v>17</v>
      </c>
      <c r="F94" t="s">
        <v>161</v>
      </c>
      <c r="G94">
        <v>0</v>
      </c>
      <c r="J94">
        <v>0</v>
      </c>
      <c r="K94">
        <v>0</v>
      </c>
      <c r="L94" t="s">
        <v>134</v>
      </c>
      <c r="M94" s="9" t="s">
        <v>19</v>
      </c>
      <c r="N94" s="3" t="str" cm="1">
        <f t="array" ref="N94">_xlfn.IFS(
OR(ISNUMBER(SEARCH("email",D94)),ISNUMBER(SEARCH("email",F94)),ISNUMBER(SEARCH("polish",D94)),ISNUMBER(SEARCH("rewrite",F94)),ISNUMBER(SEARCH("copy",F94))),"Writing and comms",
OR(ISNUMBER(SEARCH("research",F94)),ISNUMBER(SEARCH("intel",F94)),ISNUMBER(SEARCH("company",D94)),ISNUMBER(SEARCH("digger",D94))),"Research and intel",
OR(ISNUMBER(SEARCH("prompt",D94)),ISNUMBER(SEARCH("prompt",F94))),"Prompting help",
OR(ISNUMBER(SEARCH("role",D94)),ISNUMBER(SEARCH("scorecard",F94)),ISNUMBER(SEARCH("competenc",F94))),"Role and leadership advisory",
OR(ISNUMBER(SEARCH("meeting",F94)),ISNUMBER(SEARCH("notes",F94)),ISNUMBER(SEARCH("summary",F94))),"Meeting notes and summarization",
TRUE,"Other or fragmented"
)</f>
        <v>Other or fragmented</v>
      </c>
      <c r="O94" s="3" t="s">
        <v>29</v>
      </c>
      <c r="P94" s="3"/>
    </row>
    <row r="95" spans="1:16" x14ac:dyDescent="0.25">
      <c r="A95" t="s">
        <v>15</v>
      </c>
      <c r="B95" s="1">
        <v>45992</v>
      </c>
      <c r="C95" s="1">
        <v>46022</v>
      </c>
      <c r="E95" t="s">
        <v>24</v>
      </c>
      <c r="G95">
        <v>0</v>
      </c>
      <c r="J95">
        <v>0</v>
      </c>
      <c r="K95">
        <v>0</v>
      </c>
      <c r="L95" t="s">
        <v>134</v>
      </c>
      <c r="M95" s="10" t="s">
        <v>19</v>
      </c>
      <c r="N95" s="3" t="str" cm="1">
        <f t="array" ref="N95">_xlfn.IFS(
OR(ISNUMBER(SEARCH("email",D95)),ISNUMBER(SEARCH("email",F95)),ISNUMBER(SEARCH("polish",D95)),ISNUMBER(SEARCH("rewrite",F95)),ISNUMBER(SEARCH("copy",F95))),"Writing and comms",
OR(ISNUMBER(SEARCH("research",F95)),ISNUMBER(SEARCH("intel",F95)),ISNUMBER(SEARCH("company",D95)),ISNUMBER(SEARCH("digger",D95))),"Research and intel",
OR(ISNUMBER(SEARCH("prompt",D95)),ISNUMBER(SEARCH("prompt",F95))),"Prompting help",
OR(ISNUMBER(SEARCH("role",D95)),ISNUMBER(SEARCH("scorecard",F95)),ISNUMBER(SEARCH("competenc",F95))),"Role and leadership advisory",
OR(ISNUMBER(SEARCH("meeting",F95)),ISNUMBER(SEARCH("notes",F95)),ISNUMBER(SEARCH("summary",F95))),"Meeting notes and summarization",
TRUE,"Other or fragmented"
)</f>
        <v>Other or fragmented</v>
      </c>
      <c r="O95" s="3" t="s">
        <v>29</v>
      </c>
      <c r="P95" s="3"/>
    </row>
    <row r="96" spans="1:16" x14ac:dyDescent="0.25">
      <c r="A96" t="s">
        <v>15</v>
      </c>
      <c r="B96" s="1">
        <v>45992</v>
      </c>
      <c r="C96" s="1">
        <v>46022</v>
      </c>
      <c r="D96" t="s">
        <v>162</v>
      </c>
      <c r="E96" t="s">
        <v>17</v>
      </c>
      <c r="F96" t="s">
        <v>163</v>
      </c>
      <c r="G96">
        <v>0</v>
      </c>
      <c r="J96">
        <v>0</v>
      </c>
      <c r="K96">
        <v>0</v>
      </c>
      <c r="L96" t="s">
        <v>134</v>
      </c>
      <c r="M96" s="9" t="s">
        <v>19</v>
      </c>
      <c r="N96" s="3" t="str" cm="1">
        <f t="array" ref="N96">_xlfn.IFS(
OR(ISNUMBER(SEARCH("email",D96)),ISNUMBER(SEARCH("email",F96)),ISNUMBER(SEARCH("polish",D96)),ISNUMBER(SEARCH("rewrite",F96)),ISNUMBER(SEARCH("copy",F96))),"Writing and comms",
OR(ISNUMBER(SEARCH("research",F96)),ISNUMBER(SEARCH("intel",F96)),ISNUMBER(SEARCH("company",D96)),ISNUMBER(SEARCH("digger",D96))),"Research and intel",
OR(ISNUMBER(SEARCH("prompt",D96)),ISNUMBER(SEARCH("prompt",F96))),"Prompting help",
OR(ISNUMBER(SEARCH("role",D96)),ISNUMBER(SEARCH("scorecard",F96)),ISNUMBER(SEARCH("competenc",F96))),"Role and leadership advisory",
OR(ISNUMBER(SEARCH("meeting",F96)),ISNUMBER(SEARCH("notes",F96)),ISNUMBER(SEARCH("summary",F96))),"Meeting notes and summarization",
TRUE,"Other or fragmented"
)</f>
        <v>Other or fragmented</v>
      </c>
      <c r="O96" s="3" t="s">
        <v>29</v>
      </c>
      <c r="P96" s="3"/>
    </row>
    <row r="97" spans="1:16" x14ac:dyDescent="0.25">
      <c r="A97" t="s">
        <v>15</v>
      </c>
      <c r="B97" s="1">
        <v>45992</v>
      </c>
      <c r="C97" s="1">
        <v>46022</v>
      </c>
      <c r="D97" t="s">
        <v>160</v>
      </c>
      <c r="E97" t="s">
        <v>17</v>
      </c>
      <c r="F97" t="s">
        <v>164</v>
      </c>
      <c r="G97">
        <v>0</v>
      </c>
      <c r="J97">
        <v>0</v>
      </c>
      <c r="K97">
        <v>0</v>
      </c>
      <c r="L97" t="s">
        <v>134</v>
      </c>
      <c r="M97" s="10" t="s">
        <v>19</v>
      </c>
      <c r="N97" s="3" t="str" cm="1">
        <f t="array" ref="N97">_xlfn.IFS(
OR(ISNUMBER(SEARCH("email",D97)),ISNUMBER(SEARCH("email",F97)),ISNUMBER(SEARCH("polish",D97)),ISNUMBER(SEARCH("rewrite",F97)),ISNUMBER(SEARCH("copy",F97))),"Writing and comms",
OR(ISNUMBER(SEARCH("research",F97)),ISNUMBER(SEARCH("intel",F97)),ISNUMBER(SEARCH("company",D97)),ISNUMBER(SEARCH("digger",D97))),"Research and intel",
OR(ISNUMBER(SEARCH("prompt",D97)),ISNUMBER(SEARCH("prompt",F97))),"Prompting help",
OR(ISNUMBER(SEARCH("role",D97)),ISNUMBER(SEARCH("scorecard",F97)),ISNUMBER(SEARCH("competenc",F97))),"Role and leadership advisory",
OR(ISNUMBER(SEARCH("meeting",F97)),ISNUMBER(SEARCH("notes",F97)),ISNUMBER(SEARCH("summary",F97))),"Meeting notes and summarization",
TRUE,"Other or fragmented"
)</f>
        <v>Other or fragmented</v>
      </c>
      <c r="O97" s="3" t="s">
        <v>29</v>
      </c>
      <c r="P97" s="3"/>
    </row>
    <row r="98" spans="1:16" x14ac:dyDescent="0.25">
      <c r="A98" t="s">
        <v>15</v>
      </c>
      <c r="B98" s="1">
        <v>45992</v>
      </c>
      <c r="C98" s="1">
        <v>46022</v>
      </c>
      <c r="D98" t="s">
        <v>165</v>
      </c>
      <c r="E98" t="s">
        <v>17</v>
      </c>
      <c r="F98" t="s">
        <v>133</v>
      </c>
      <c r="G98">
        <v>0</v>
      </c>
      <c r="J98">
        <v>0</v>
      </c>
      <c r="K98">
        <v>0</v>
      </c>
      <c r="L98" t="s">
        <v>134</v>
      </c>
      <c r="M98" s="9" t="s">
        <v>19</v>
      </c>
      <c r="N98" s="3" t="str" cm="1">
        <f t="array" ref="N98">_xlfn.IFS(
OR(ISNUMBER(SEARCH("email",D98)),ISNUMBER(SEARCH("email",F98)),ISNUMBER(SEARCH("polish",D98)),ISNUMBER(SEARCH("rewrite",F98)),ISNUMBER(SEARCH("copy",F98))),"Writing and comms",
OR(ISNUMBER(SEARCH("research",F98)),ISNUMBER(SEARCH("intel",F98)),ISNUMBER(SEARCH("company",D98)),ISNUMBER(SEARCH("digger",D98))),"Research and intel",
OR(ISNUMBER(SEARCH("prompt",D98)),ISNUMBER(SEARCH("prompt",F98))),"Prompting help",
OR(ISNUMBER(SEARCH("role",D98)),ISNUMBER(SEARCH("scorecard",F98)),ISNUMBER(SEARCH("competenc",F98))),"Role and leadership advisory",
OR(ISNUMBER(SEARCH("meeting",F98)),ISNUMBER(SEARCH("notes",F98)),ISNUMBER(SEARCH("summary",F98))),"Meeting notes and summarization",
TRUE,"Other or fragmented"
)</f>
        <v>Meeting notes and summarization</v>
      </c>
      <c r="O98" s="3" t="s">
        <v>29</v>
      </c>
      <c r="P98" s="3"/>
    </row>
    <row r="99" spans="1:16" x14ac:dyDescent="0.25">
      <c r="A99" t="s">
        <v>15</v>
      </c>
      <c r="B99" s="1">
        <v>45992</v>
      </c>
      <c r="C99" s="1">
        <v>46022</v>
      </c>
      <c r="D99" t="s">
        <v>166</v>
      </c>
      <c r="E99" t="s">
        <v>24</v>
      </c>
      <c r="G99">
        <v>0</v>
      </c>
      <c r="J99">
        <v>0</v>
      </c>
      <c r="K99">
        <v>0</v>
      </c>
      <c r="L99" t="s">
        <v>134</v>
      </c>
      <c r="M99" s="10" t="s">
        <v>19</v>
      </c>
      <c r="N99" s="3" t="str" cm="1">
        <f t="array" ref="N99">_xlfn.IFS(
OR(ISNUMBER(SEARCH("email",D99)),ISNUMBER(SEARCH("email",F99)),ISNUMBER(SEARCH("polish",D99)),ISNUMBER(SEARCH("rewrite",F99)),ISNUMBER(SEARCH("copy",F99))),"Writing and comms",
OR(ISNUMBER(SEARCH("research",F99)),ISNUMBER(SEARCH("intel",F99)),ISNUMBER(SEARCH("company",D99)),ISNUMBER(SEARCH("digger",D99))),"Research and intel",
OR(ISNUMBER(SEARCH("prompt",D99)),ISNUMBER(SEARCH("prompt",F99))),"Prompting help",
OR(ISNUMBER(SEARCH("role",D99)),ISNUMBER(SEARCH("scorecard",F99)),ISNUMBER(SEARCH("competenc",F99))),"Role and leadership advisory",
OR(ISNUMBER(SEARCH("meeting",F99)),ISNUMBER(SEARCH("notes",F99)),ISNUMBER(SEARCH("summary",F99))),"Meeting notes and summarization",
TRUE,"Other or fragmented"
)</f>
        <v>Other or fragmented</v>
      </c>
      <c r="O99" s="3" t="s">
        <v>59</v>
      </c>
      <c r="P99" s="3"/>
    </row>
    <row r="100" spans="1:16" x14ac:dyDescent="0.25">
      <c r="A100" t="s">
        <v>15</v>
      </c>
      <c r="B100" s="1">
        <v>45992</v>
      </c>
      <c r="C100" s="1">
        <v>46022</v>
      </c>
      <c r="D100" t="s">
        <v>167</v>
      </c>
      <c r="E100" t="s">
        <v>17</v>
      </c>
      <c r="F100" t="s">
        <v>168</v>
      </c>
      <c r="G100">
        <v>0</v>
      </c>
      <c r="J100">
        <v>0</v>
      </c>
      <c r="K100">
        <v>0</v>
      </c>
      <c r="L100" t="s">
        <v>134</v>
      </c>
      <c r="M100" s="9" t="s">
        <v>19</v>
      </c>
      <c r="N100" s="3" t="str" cm="1">
        <f t="array" ref="N100">_xlfn.IFS(
OR(ISNUMBER(SEARCH("email",D100)),ISNUMBER(SEARCH("email",F100)),ISNUMBER(SEARCH("polish",D100)),ISNUMBER(SEARCH("rewrite",F100)),ISNUMBER(SEARCH("copy",F100))),"Writing and comms",
OR(ISNUMBER(SEARCH("research",F100)),ISNUMBER(SEARCH("intel",F100)),ISNUMBER(SEARCH("company",D100)),ISNUMBER(SEARCH("digger",D100))),"Research and intel",
OR(ISNUMBER(SEARCH("prompt",D100)),ISNUMBER(SEARCH("prompt",F100))),"Prompting help",
OR(ISNUMBER(SEARCH("role",D100)),ISNUMBER(SEARCH("scorecard",F100)),ISNUMBER(SEARCH("competenc",F100))),"Role and leadership advisory",
OR(ISNUMBER(SEARCH("meeting",F100)),ISNUMBER(SEARCH("notes",F100)),ISNUMBER(SEARCH("summary",F100))),"Meeting notes and summarization",
TRUE,"Other or fragmented"
)</f>
        <v>Other or fragmented</v>
      </c>
      <c r="O100" s="3" t="s">
        <v>59</v>
      </c>
      <c r="P100" s="3"/>
    </row>
    <row r="101" spans="1:16" x14ac:dyDescent="0.25">
      <c r="A101" t="s">
        <v>15</v>
      </c>
      <c r="B101" s="1">
        <v>45992</v>
      </c>
      <c r="C101" s="1">
        <v>46022</v>
      </c>
      <c r="D101" t="s">
        <v>169</v>
      </c>
      <c r="E101" t="s">
        <v>17</v>
      </c>
      <c r="F101" t="s">
        <v>138</v>
      </c>
      <c r="G101">
        <v>0</v>
      </c>
      <c r="J101">
        <v>0</v>
      </c>
      <c r="K101">
        <v>0</v>
      </c>
      <c r="L101" t="s">
        <v>134</v>
      </c>
      <c r="M101" s="10" t="s">
        <v>19</v>
      </c>
      <c r="N101" s="3" t="str" cm="1">
        <f t="array" ref="N101">_xlfn.IFS(
OR(ISNUMBER(SEARCH("email",D101)),ISNUMBER(SEARCH("email",F101)),ISNUMBER(SEARCH("polish",D101)),ISNUMBER(SEARCH("rewrite",F101)),ISNUMBER(SEARCH("copy",F101))),"Writing and comms",
OR(ISNUMBER(SEARCH("research",F101)),ISNUMBER(SEARCH("intel",F101)),ISNUMBER(SEARCH("company",D101)),ISNUMBER(SEARCH("digger",D101))),"Research and intel",
OR(ISNUMBER(SEARCH("prompt",D101)),ISNUMBER(SEARCH("prompt",F101))),"Prompting help",
OR(ISNUMBER(SEARCH("role",D101)),ISNUMBER(SEARCH("scorecard",F101)),ISNUMBER(SEARCH("competenc",F101))),"Role and leadership advisory",
OR(ISNUMBER(SEARCH("meeting",F101)),ISNUMBER(SEARCH("notes",F101)),ISNUMBER(SEARCH("summary",F101))),"Meeting notes and summarization",
TRUE,"Other or fragmented"
)</f>
        <v>Other or fragmented</v>
      </c>
      <c r="O101" s="3" t="s">
        <v>59</v>
      </c>
      <c r="P101" s="3"/>
    </row>
    <row r="102" spans="1:16" x14ac:dyDescent="0.25">
      <c r="A102" t="s">
        <v>15</v>
      </c>
      <c r="B102" s="1">
        <v>45992</v>
      </c>
      <c r="C102" s="1">
        <v>46022</v>
      </c>
      <c r="D102" t="s">
        <v>170</v>
      </c>
      <c r="E102" t="s">
        <v>24</v>
      </c>
      <c r="F102" t="s">
        <v>136</v>
      </c>
      <c r="G102">
        <v>0</v>
      </c>
      <c r="J102">
        <v>0</v>
      </c>
      <c r="K102">
        <v>0</v>
      </c>
      <c r="L102" t="s">
        <v>134</v>
      </c>
      <c r="M102" s="9" t="s">
        <v>12</v>
      </c>
      <c r="N102" s="3" t="str" cm="1">
        <f t="array" ref="N102">_xlfn.IFS(
OR(ISNUMBER(SEARCH("email",D102)),ISNUMBER(SEARCH("email",F102)),ISNUMBER(SEARCH("polish",D102)),ISNUMBER(SEARCH("rewrite",F102)),ISNUMBER(SEARCH("copy",F102))),"Writing and comms",
OR(ISNUMBER(SEARCH("research",F102)),ISNUMBER(SEARCH("intel",F102)),ISNUMBER(SEARCH("company",D102)),ISNUMBER(SEARCH("digger",D102))),"Research and intel",
OR(ISNUMBER(SEARCH("prompt",D102)),ISNUMBER(SEARCH("prompt",F102))),"Prompting help",
OR(ISNUMBER(SEARCH("role",D102)),ISNUMBER(SEARCH("scorecard",F102)),ISNUMBER(SEARCH("competenc",F102))),"Role and leadership advisory",
OR(ISNUMBER(SEARCH("meeting",F102)),ISNUMBER(SEARCH("notes",F102)),ISNUMBER(SEARCH("summary",F102))),"Meeting notes and summarization",
TRUE,"Other or fragmented"
)</f>
        <v>Other or fragmented</v>
      </c>
      <c r="O102" s="3" t="s">
        <v>59</v>
      </c>
      <c r="P102" s="3"/>
    </row>
    <row r="103" spans="1:16" x14ac:dyDescent="0.25">
      <c r="A103" t="s">
        <v>15</v>
      </c>
      <c r="B103" s="1">
        <v>45992</v>
      </c>
      <c r="C103" s="1">
        <v>46022</v>
      </c>
      <c r="D103" t="s">
        <v>171</v>
      </c>
      <c r="E103" t="s">
        <v>17</v>
      </c>
      <c r="F103" t="s">
        <v>151</v>
      </c>
      <c r="G103">
        <v>0</v>
      </c>
      <c r="J103">
        <v>0</v>
      </c>
      <c r="K103">
        <v>0</v>
      </c>
      <c r="L103" t="s">
        <v>134</v>
      </c>
      <c r="M103" s="10" t="s">
        <v>19</v>
      </c>
      <c r="N103" s="3" t="str" cm="1">
        <f t="array" ref="N103">_xlfn.IFS(
OR(ISNUMBER(SEARCH("email",D103)),ISNUMBER(SEARCH("email",F103)),ISNUMBER(SEARCH("polish",D103)),ISNUMBER(SEARCH("rewrite",F103)),ISNUMBER(SEARCH("copy",F103))),"Writing and comms",
OR(ISNUMBER(SEARCH("research",F103)),ISNUMBER(SEARCH("intel",F103)),ISNUMBER(SEARCH("company",D103)),ISNUMBER(SEARCH("digger",D103))),"Research and intel",
OR(ISNUMBER(SEARCH("prompt",D103)),ISNUMBER(SEARCH("prompt",F103))),"Prompting help",
OR(ISNUMBER(SEARCH("role",D103)),ISNUMBER(SEARCH("scorecard",F103)),ISNUMBER(SEARCH("competenc",F103))),"Role and leadership advisory",
OR(ISNUMBER(SEARCH("meeting",F103)),ISNUMBER(SEARCH("notes",F103)),ISNUMBER(SEARCH("summary",F103))),"Meeting notes and summarization",
TRUE,"Other or fragmented"
)</f>
        <v>Other or fragmented</v>
      </c>
      <c r="O103" s="3" t="s">
        <v>59</v>
      </c>
      <c r="P103" s="3"/>
    </row>
    <row r="104" spans="1:16" x14ac:dyDescent="0.25">
      <c r="A104" t="s">
        <v>15</v>
      </c>
      <c r="B104" s="1">
        <v>45992</v>
      </c>
      <c r="C104" s="1">
        <v>46022</v>
      </c>
      <c r="D104" t="s">
        <v>172</v>
      </c>
      <c r="E104" t="s">
        <v>24</v>
      </c>
      <c r="F104" t="s">
        <v>173</v>
      </c>
      <c r="G104">
        <v>0</v>
      </c>
      <c r="J104">
        <v>0</v>
      </c>
      <c r="K104">
        <v>0</v>
      </c>
      <c r="L104" t="s">
        <v>134</v>
      </c>
      <c r="M104" s="9" t="s">
        <v>19</v>
      </c>
      <c r="N104" s="3" t="str" cm="1">
        <f t="array" ref="N104">_xlfn.IFS(
OR(ISNUMBER(SEARCH("email",D104)),ISNUMBER(SEARCH("email",F104)),ISNUMBER(SEARCH("polish",D104)),ISNUMBER(SEARCH("rewrite",F104)),ISNUMBER(SEARCH("copy",F104))),"Writing and comms",
OR(ISNUMBER(SEARCH("research",F104)),ISNUMBER(SEARCH("intel",F104)),ISNUMBER(SEARCH("company",D104)),ISNUMBER(SEARCH("digger",D104))),"Research and intel",
OR(ISNUMBER(SEARCH("prompt",D104)),ISNUMBER(SEARCH("prompt",F104))),"Prompting help",
OR(ISNUMBER(SEARCH("role",D104)),ISNUMBER(SEARCH("scorecard",F104)),ISNUMBER(SEARCH("competenc",F104))),"Role and leadership advisory",
OR(ISNUMBER(SEARCH("meeting",F104)),ISNUMBER(SEARCH("notes",F104)),ISNUMBER(SEARCH("summary",F104))),"Meeting notes and summarization",
TRUE,"Other or fragmented"
)</f>
        <v>Other or fragmented</v>
      </c>
      <c r="O104" s="3" t="s">
        <v>59</v>
      </c>
      <c r="P104" s="3"/>
    </row>
    <row r="105" spans="1:16" x14ac:dyDescent="0.25">
      <c r="A105" t="s">
        <v>15</v>
      </c>
      <c r="B105" s="1">
        <v>45992</v>
      </c>
      <c r="C105" s="1">
        <v>46022</v>
      </c>
      <c r="D105" t="s">
        <v>174</v>
      </c>
      <c r="E105" t="s">
        <v>24</v>
      </c>
      <c r="F105" t="s">
        <v>175</v>
      </c>
      <c r="G105">
        <v>0</v>
      </c>
      <c r="J105">
        <v>0</v>
      </c>
      <c r="K105">
        <v>0</v>
      </c>
      <c r="L105" t="s">
        <v>134</v>
      </c>
      <c r="M105" s="10" t="s">
        <v>19</v>
      </c>
      <c r="N105" s="3" t="str" cm="1">
        <f t="array" ref="N105">_xlfn.IFS(
OR(ISNUMBER(SEARCH("email",D105)),ISNUMBER(SEARCH("email",F105)),ISNUMBER(SEARCH("polish",D105)),ISNUMBER(SEARCH("rewrite",F105)),ISNUMBER(SEARCH("copy",F105))),"Writing and comms",
OR(ISNUMBER(SEARCH("research",F105)),ISNUMBER(SEARCH("intel",F105)),ISNUMBER(SEARCH("company",D105)),ISNUMBER(SEARCH("digger",D105))),"Research and intel",
OR(ISNUMBER(SEARCH("prompt",D105)),ISNUMBER(SEARCH("prompt",F105))),"Prompting help",
OR(ISNUMBER(SEARCH("role",D105)),ISNUMBER(SEARCH("scorecard",F105)),ISNUMBER(SEARCH("competenc",F105))),"Role and leadership advisory",
OR(ISNUMBER(SEARCH("meeting",F105)),ISNUMBER(SEARCH("notes",F105)),ISNUMBER(SEARCH("summary",F105))),"Meeting notes and summarization",
TRUE,"Other or fragmented"
)</f>
        <v>Writing and comms</v>
      </c>
      <c r="O105" s="3" t="s">
        <v>59</v>
      </c>
      <c r="P105" s="3"/>
    </row>
    <row r="106" spans="1:16" x14ac:dyDescent="0.25">
      <c r="A106" t="s">
        <v>15</v>
      </c>
      <c r="B106" s="1">
        <v>45992</v>
      </c>
      <c r="C106" s="1">
        <v>46022</v>
      </c>
      <c r="D106" t="s">
        <v>176</v>
      </c>
      <c r="E106" t="s">
        <v>17</v>
      </c>
      <c r="F106" t="s">
        <v>177</v>
      </c>
      <c r="G106">
        <v>1</v>
      </c>
      <c r="H106" s="1">
        <v>45993</v>
      </c>
      <c r="I106" s="1">
        <v>46005</v>
      </c>
      <c r="J106">
        <v>25</v>
      </c>
      <c r="K106">
        <v>1</v>
      </c>
      <c r="L106" t="s">
        <v>178</v>
      </c>
      <c r="M106" s="9" t="s">
        <v>19</v>
      </c>
      <c r="N106" s="3" t="str" cm="1">
        <f t="array" ref="N106">_xlfn.IFS(
OR(ISNUMBER(SEARCH("email",D106)),ISNUMBER(SEARCH("email",F106)),ISNUMBER(SEARCH("polish",D106)),ISNUMBER(SEARCH("rewrite",F106)),ISNUMBER(SEARCH("copy",F106))),"Writing and comms",
OR(ISNUMBER(SEARCH("research",F106)),ISNUMBER(SEARCH("intel",F106)),ISNUMBER(SEARCH("company",D106)),ISNUMBER(SEARCH("digger",D106))),"Research and intel",
OR(ISNUMBER(SEARCH("prompt",D106)),ISNUMBER(SEARCH("prompt",F106))),"Prompting help",
OR(ISNUMBER(SEARCH("role",D106)),ISNUMBER(SEARCH("scorecard",F106)),ISNUMBER(SEARCH("competenc",F106))),"Role and leadership advisory",
OR(ISNUMBER(SEARCH("meeting",F106)),ISNUMBER(SEARCH("notes",F106)),ISNUMBER(SEARCH("summary",F106))),"Meeting notes and summarization",
TRUE,"Other or fragmented"
)</f>
        <v>Research and intel</v>
      </c>
      <c r="O106" s="3" t="s">
        <v>59</v>
      </c>
      <c r="P106" s="3"/>
    </row>
    <row r="107" spans="1:16" x14ac:dyDescent="0.25">
      <c r="A107" t="s">
        <v>15</v>
      </c>
      <c r="B107" s="1">
        <v>45992</v>
      </c>
      <c r="C107" s="1">
        <v>46022</v>
      </c>
      <c r="E107" t="s">
        <v>24</v>
      </c>
      <c r="G107">
        <v>0</v>
      </c>
      <c r="J107">
        <v>0</v>
      </c>
      <c r="K107">
        <v>0</v>
      </c>
      <c r="L107" t="s">
        <v>178</v>
      </c>
      <c r="M107" s="10" t="s">
        <v>19</v>
      </c>
      <c r="N107" s="3" t="str" cm="1">
        <f t="array" ref="N107">_xlfn.IFS(
OR(ISNUMBER(SEARCH("email",D107)),ISNUMBER(SEARCH("email",F107)),ISNUMBER(SEARCH("polish",D107)),ISNUMBER(SEARCH("rewrite",F107)),ISNUMBER(SEARCH("copy",F107))),"Writing and comms",
OR(ISNUMBER(SEARCH("research",F107)),ISNUMBER(SEARCH("intel",F107)),ISNUMBER(SEARCH("company",D107)),ISNUMBER(SEARCH("digger",D107))),"Research and intel",
OR(ISNUMBER(SEARCH("prompt",D107)),ISNUMBER(SEARCH("prompt",F107))),"Prompting help",
OR(ISNUMBER(SEARCH("role",D107)),ISNUMBER(SEARCH("scorecard",F107)),ISNUMBER(SEARCH("competenc",F107))),"Role and leadership advisory",
OR(ISNUMBER(SEARCH("meeting",F107)),ISNUMBER(SEARCH("notes",F107)),ISNUMBER(SEARCH("summary",F107))),"Meeting notes and summarization",
TRUE,"Other or fragmented"
)</f>
        <v>Other or fragmented</v>
      </c>
      <c r="O107" s="3" t="s">
        <v>59</v>
      </c>
      <c r="P107" s="3"/>
    </row>
    <row r="108" spans="1:16" x14ac:dyDescent="0.25">
      <c r="A108" t="s">
        <v>15</v>
      </c>
      <c r="B108" s="1">
        <v>45992</v>
      </c>
      <c r="C108" s="1">
        <v>46022</v>
      </c>
      <c r="E108" t="s">
        <v>24</v>
      </c>
      <c r="G108">
        <v>0</v>
      </c>
      <c r="J108">
        <v>0</v>
      </c>
      <c r="K108">
        <v>0</v>
      </c>
      <c r="L108" t="s">
        <v>179</v>
      </c>
      <c r="M108" s="9" t="s">
        <v>19</v>
      </c>
      <c r="N108" s="3" t="str" cm="1">
        <f t="array" ref="N108">_xlfn.IFS(
OR(ISNUMBER(SEARCH("email",D108)),ISNUMBER(SEARCH("email",F108)),ISNUMBER(SEARCH("polish",D108)),ISNUMBER(SEARCH("rewrite",F108)),ISNUMBER(SEARCH("copy",F108))),"Writing and comms",
OR(ISNUMBER(SEARCH("research",F108)),ISNUMBER(SEARCH("intel",F108)),ISNUMBER(SEARCH("company",D108)),ISNUMBER(SEARCH("digger",D108))),"Research and intel",
OR(ISNUMBER(SEARCH("prompt",D108)),ISNUMBER(SEARCH("prompt",F108))),"Prompting help",
OR(ISNUMBER(SEARCH("role",D108)),ISNUMBER(SEARCH("scorecard",F108)),ISNUMBER(SEARCH("competenc",F108))),"Role and leadership advisory",
OR(ISNUMBER(SEARCH("meeting",F108)),ISNUMBER(SEARCH("notes",F108)),ISNUMBER(SEARCH("summary",F108))),"Meeting notes and summarization",
TRUE,"Other or fragmented"
)</f>
        <v>Other or fragmented</v>
      </c>
      <c r="O108" s="3" t="s">
        <v>59</v>
      </c>
      <c r="P108" s="3"/>
    </row>
    <row r="109" spans="1:16" x14ac:dyDescent="0.25">
      <c r="A109" t="s">
        <v>15</v>
      </c>
      <c r="B109" s="1">
        <v>45992</v>
      </c>
      <c r="C109" s="1">
        <v>46022</v>
      </c>
      <c r="E109" t="s">
        <v>24</v>
      </c>
      <c r="G109">
        <v>0</v>
      </c>
      <c r="J109">
        <v>0</v>
      </c>
      <c r="K109">
        <v>0</v>
      </c>
      <c r="L109" t="s">
        <v>180</v>
      </c>
      <c r="M109" s="10" t="s">
        <v>19</v>
      </c>
      <c r="N109" s="3" t="str" cm="1">
        <f t="array" ref="N109">_xlfn.IFS(
OR(ISNUMBER(SEARCH("email",D109)),ISNUMBER(SEARCH("email",F109)),ISNUMBER(SEARCH("polish",D109)),ISNUMBER(SEARCH("rewrite",F109)),ISNUMBER(SEARCH("copy",F109))),"Writing and comms",
OR(ISNUMBER(SEARCH("research",F109)),ISNUMBER(SEARCH("intel",F109)),ISNUMBER(SEARCH("company",D109)),ISNUMBER(SEARCH("digger",D109))),"Research and intel",
OR(ISNUMBER(SEARCH("prompt",D109)),ISNUMBER(SEARCH("prompt",F109))),"Prompting help",
OR(ISNUMBER(SEARCH("role",D109)),ISNUMBER(SEARCH("scorecard",F109)),ISNUMBER(SEARCH("competenc",F109))),"Role and leadership advisory",
OR(ISNUMBER(SEARCH("meeting",F109)),ISNUMBER(SEARCH("notes",F109)),ISNUMBER(SEARCH("summary",F109))),"Meeting notes and summarization",
TRUE,"Other or fragmented"
)</f>
        <v>Other or fragmented</v>
      </c>
      <c r="O109" s="3" t="s">
        <v>59</v>
      </c>
      <c r="P109" s="3"/>
    </row>
    <row r="110" spans="1:16" x14ac:dyDescent="0.25">
      <c r="A110" t="s">
        <v>15</v>
      </c>
      <c r="B110" s="1">
        <v>45992</v>
      </c>
      <c r="C110" s="1">
        <v>46022</v>
      </c>
      <c r="D110" t="s">
        <v>181</v>
      </c>
      <c r="E110" t="s">
        <v>17</v>
      </c>
      <c r="F110" t="s">
        <v>182</v>
      </c>
      <c r="G110">
        <v>0</v>
      </c>
      <c r="J110">
        <v>0</v>
      </c>
      <c r="K110">
        <v>0</v>
      </c>
      <c r="L110" t="s">
        <v>183</v>
      </c>
      <c r="M110" s="9" t="s">
        <v>19</v>
      </c>
      <c r="N110" s="3" t="str" cm="1">
        <f t="array" ref="N110">_xlfn.IFS(
OR(ISNUMBER(SEARCH("email",D110)),ISNUMBER(SEARCH("email",F110)),ISNUMBER(SEARCH("polish",D110)),ISNUMBER(SEARCH("rewrite",F110)),ISNUMBER(SEARCH("copy",F110))),"Writing and comms",
OR(ISNUMBER(SEARCH("research",F110)),ISNUMBER(SEARCH("intel",F110)),ISNUMBER(SEARCH("company",D110)),ISNUMBER(SEARCH("digger",D110))),"Research and intel",
OR(ISNUMBER(SEARCH("prompt",D110)),ISNUMBER(SEARCH("prompt",F110))),"Prompting help",
OR(ISNUMBER(SEARCH("role",D110)),ISNUMBER(SEARCH("scorecard",F110)),ISNUMBER(SEARCH("competenc",F110))),"Role and leadership advisory",
OR(ISNUMBER(SEARCH("meeting",F110)),ISNUMBER(SEARCH("notes",F110)),ISNUMBER(SEARCH("summary",F110))),"Meeting notes and summarization",
TRUE,"Other or fragmented"
)</f>
        <v>Other or fragmented</v>
      </c>
      <c r="O110" s="3" t="s">
        <v>59</v>
      </c>
      <c r="P110" s="3"/>
    </row>
    <row r="111" spans="1:16" x14ac:dyDescent="0.25">
      <c r="A111" t="s">
        <v>15</v>
      </c>
      <c r="B111" s="1">
        <v>45992</v>
      </c>
      <c r="C111" s="1">
        <v>46022</v>
      </c>
      <c r="D111" t="s">
        <v>184</v>
      </c>
      <c r="E111" t="s">
        <v>17</v>
      </c>
      <c r="G111">
        <v>0</v>
      </c>
      <c r="J111">
        <v>0</v>
      </c>
      <c r="K111">
        <v>0</v>
      </c>
      <c r="L111" t="s">
        <v>183</v>
      </c>
      <c r="M111" s="10" t="s">
        <v>19</v>
      </c>
      <c r="N111" s="3" t="str" cm="1">
        <f t="array" ref="N111">_xlfn.IFS(
OR(ISNUMBER(SEARCH("email",D111)),ISNUMBER(SEARCH("email",F111)),ISNUMBER(SEARCH("polish",D111)),ISNUMBER(SEARCH("rewrite",F111)),ISNUMBER(SEARCH("copy",F111))),"Writing and comms",
OR(ISNUMBER(SEARCH("research",F111)),ISNUMBER(SEARCH("intel",F111)),ISNUMBER(SEARCH("company",D111)),ISNUMBER(SEARCH("digger",D111))),"Research and intel",
OR(ISNUMBER(SEARCH("prompt",D111)),ISNUMBER(SEARCH("prompt",F111))),"Prompting help",
OR(ISNUMBER(SEARCH("role",D111)),ISNUMBER(SEARCH("scorecard",F111)),ISNUMBER(SEARCH("competenc",F111))),"Role and leadership advisory",
OR(ISNUMBER(SEARCH("meeting",F111)),ISNUMBER(SEARCH("notes",F111)),ISNUMBER(SEARCH("summary",F111))),"Meeting notes and summarization",
TRUE,"Other or fragmented"
)</f>
        <v>Writing and comms</v>
      </c>
      <c r="O111" s="3" t="s">
        <v>59</v>
      </c>
      <c r="P111" s="3"/>
    </row>
    <row r="112" spans="1:16" x14ac:dyDescent="0.25">
      <c r="A112" t="s">
        <v>15</v>
      </c>
      <c r="B112" s="1">
        <v>45992</v>
      </c>
      <c r="C112" s="1">
        <v>46022</v>
      </c>
      <c r="D112" t="s">
        <v>185</v>
      </c>
      <c r="E112" t="s">
        <v>24</v>
      </c>
      <c r="G112">
        <v>0</v>
      </c>
      <c r="J112">
        <v>0</v>
      </c>
      <c r="K112">
        <v>0</v>
      </c>
      <c r="L112" t="s">
        <v>183</v>
      </c>
      <c r="M112" s="9" t="s">
        <v>19</v>
      </c>
      <c r="N112" s="3" t="str" cm="1">
        <f t="array" ref="N112">_xlfn.IFS(
OR(ISNUMBER(SEARCH("email",D112)),ISNUMBER(SEARCH("email",F112)),ISNUMBER(SEARCH("polish",D112)),ISNUMBER(SEARCH("rewrite",F112)),ISNUMBER(SEARCH("copy",F112))),"Writing and comms",
OR(ISNUMBER(SEARCH("research",F112)),ISNUMBER(SEARCH("intel",F112)),ISNUMBER(SEARCH("company",D112)),ISNUMBER(SEARCH("digger",D112))),"Research and intel",
OR(ISNUMBER(SEARCH("prompt",D112)),ISNUMBER(SEARCH("prompt",F112))),"Prompting help",
OR(ISNUMBER(SEARCH("role",D112)),ISNUMBER(SEARCH("scorecard",F112)),ISNUMBER(SEARCH("competenc",F112))),"Role and leadership advisory",
OR(ISNUMBER(SEARCH("meeting",F112)),ISNUMBER(SEARCH("notes",F112)),ISNUMBER(SEARCH("summary",F112))),"Meeting notes and summarization",
TRUE,"Other or fragmented"
)</f>
        <v>Other or fragmented</v>
      </c>
      <c r="O112" s="3" t="s">
        <v>59</v>
      </c>
      <c r="P112" s="3"/>
    </row>
    <row r="113" spans="1:16" x14ac:dyDescent="0.25">
      <c r="A113" t="s">
        <v>15</v>
      </c>
      <c r="B113" s="1">
        <v>45992</v>
      </c>
      <c r="C113" s="1">
        <v>46022</v>
      </c>
      <c r="D113" t="s">
        <v>186</v>
      </c>
      <c r="E113" t="s">
        <v>24</v>
      </c>
      <c r="F113" t="s">
        <v>187</v>
      </c>
      <c r="G113">
        <v>1</v>
      </c>
      <c r="H113" s="1">
        <v>46011</v>
      </c>
      <c r="I113" s="1">
        <v>46012</v>
      </c>
      <c r="J113">
        <v>18</v>
      </c>
      <c r="K113">
        <v>1</v>
      </c>
      <c r="L113" t="s">
        <v>188</v>
      </c>
      <c r="M113" s="10" t="s">
        <v>19</v>
      </c>
      <c r="N113" s="3" t="str" cm="1">
        <f t="array" ref="N113">_xlfn.IFS(
OR(ISNUMBER(SEARCH("email",D113)),ISNUMBER(SEARCH("email",F113)),ISNUMBER(SEARCH("polish",D113)),ISNUMBER(SEARCH("rewrite",F113)),ISNUMBER(SEARCH("copy",F113))),"Writing and comms",
OR(ISNUMBER(SEARCH("research",F113)),ISNUMBER(SEARCH("intel",F113)),ISNUMBER(SEARCH("company",D113)),ISNUMBER(SEARCH("digger",D113))),"Research and intel",
OR(ISNUMBER(SEARCH("prompt",D113)),ISNUMBER(SEARCH("prompt",F113))),"Prompting help",
OR(ISNUMBER(SEARCH("role",D113)),ISNUMBER(SEARCH("scorecard",F113)),ISNUMBER(SEARCH("competenc",F113))),"Role and leadership advisory",
OR(ISNUMBER(SEARCH("meeting",F113)),ISNUMBER(SEARCH("notes",F113)),ISNUMBER(SEARCH("summary",F113))),"Meeting notes and summarization",
TRUE,"Other or fragmented"
)</f>
        <v>Other or fragmented</v>
      </c>
      <c r="O113" s="3" t="s">
        <v>59</v>
      </c>
      <c r="P113" s="3"/>
    </row>
    <row r="114" spans="1:16" x14ac:dyDescent="0.25">
      <c r="A114" t="s">
        <v>15</v>
      </c>
      <c r="B114" s="1">
        <v>45992</v>
      </c>
      <c r="C114" s="1">
        <v>46022</v>
      </c>
      <c r="D114" t="s">
        <v>189</v>
      </c>
      <c r="E114" t="s">
        <v>24</v>
      </c>
      <c r="F114" t="s">
        <v>190</v>
      </c>
      <c r="G114">
        <v>1</v>
      </c>
      <c r="H114" s="1">
        <v>45992</v>
      </c>
      <c r="I114" s="1">
        <v>45993</v>
      </c>
      <c r="J114">
        <v>48</v>
      </c>
      <c r="K114">
        <v>1</v>
      </c>
      <c r="L114" t="s">
        <v>188</v>
      </c>
      <c r="M114" s="9" t="s">
        <v>19</v>
      </c>
      <c r="N114" s="3" t="str" cm="1">
        <f t="array" ref="N114">_xlfn.IFS(
OR(ISNUMBER(SEARCH("email",D114)),ISNUMBER(SEARCH("email",F114)),ISNUMBER(SEARCH("polish",D114)),ISNUMBER(SEARCH("rewrite",F114)),ISNUMBER(SEARCH("copy",F114))),"Writing and comms",
OR(ISNUMBER(SEARCH("research",F114)),ISNUMBER(SEARCH("intel",F114)),ISNUMBER(SEARCH("company",D114)),ISNUMBER(SEARCH("digger",D114))),"Research and intel",
OR(ISNUMBER(SEARCH("prompt",D114)),ISNUMBER(SEARCH("prompt",F114))),"Prompting help",
OR(ISNUMBER(SEARCH("role",D114)),ISNUMBER(SEARCH("scorecard",F114)),ISNUMBER(SEARCH("competenc",F114))),"Role and leadership advisory",
OR(ISNUMBER(SEARCH("meeting",F114)),ISNUMBER(SEARCH("notes",F114)),ISNUMBER(SEARCH("summary",F114))),"Meeting notes and summarization",
TRUE,"Other or fragmented"
)</f>
        <v>Other or fragmented</v>
      </c>
      <c r="O114" s="3" t="s">
        <v>59</v>
      </c>
      <c r="P114" s="3"/>
    </row>
    <row r="115" spans="1:16" x14ac:dyDescent="0.25">
      <c r="A115" t="s">
        <v>15</v>
      </c>
      <c r="B115" s="1">
        <v>45992</v>
      </c>
      <c r="C115" s="1">
        <v>46022</v>
      </c>
      <c r="D115" t="s">
        <v>191</v>
      </c>
      <c r="E115" t="s">
        <v>24</v>
      </c>
      <c r="F115" t="s">
        <v>192</v>
      </c>
      <c r="G115">
        <v>0</v>
      </c>
      <c r="J115">
        <v>0</v>
      </c>
      <c r="K115">
        <v>0</v>
      </c>
      <c r="L115" t="s">
        <v>188</v>
      </c>
      <c r="M115" s="10" t="s">
        <v>19</v>
      </c>
      <c r="N115" s="3" t="str" cm="1">
        <f t="array" ref="N115">_xlfn.IFS(
OR(ISNUMBER(SEARCH("email",D115)),ISNUMBER(SEARCH("email",F115)),ISNUMBER(SEARCH("polish",D115)),ISNUMBER(SEARCH("rewrite",F115)),ISNUMBER(SEARCH("copy",F115))),"Writing and comms",
OR(ISNUMBER(SEARCH("research",F115)),ISNUMBER(SEARCH("intel",F115)),ISNUMBER(SEARCH("company",D115)),ISNUMBER(SEARCH("digger",D115))),"Research and intel",
OR(ISNUMBER(SEARCH("prompt",D115)),ISNUMBER(SEARCH("prompt",F115))),"Prompting help",
OR(ISNUMBER(SEARCH("role",D115)),ISNUMBER(SEARCH("scorecard",F115)),ISNUMBER(SEARCH("competenc",F115))),"Role and leadership advisory",
OR(ISNUMBER(SEARCH("meeting",F115)),ISNUMBER(SEARCH("notes",F115)),ISNUMBER(SEARCH("summary",F115))),"Meeting notes and summarization",
TRUE,"Other or fragmented"
)</f>
        <v>Other or fragmented</v>
      </c>
      <c r="O115" s="3" t="s">
        <v>59</v>
      </c>
      <c r="P115" s="3"/>
    </row>
    <row r="116" spans="1:16" x14ac:dyDescent="0.25">
      <c r="A116" t="s">
        <v>15</v>
      </c>
      <c r="B116" s="1">
        <v>45992</v>
      </c>
      <c r="C116" s="1">
        <v>46022</v>
      </c>
      <c r="E116" t="s">
        <v>24</v>
      </c>
      <c r="G116">
        <v>0</v>
      </c>
      <c r="J116">
        <v>0</v>
      </c>
      <c r="K116">
        <v>0</v>
      </c>
      <c r="L116" t="s">
        <v>193</v>
      </c>
      <c r="M116" s="9" t="s">
        <v>19</v>
      </c>
      <c r="N116" s="3" t="str" cm="1">
        <f t="array" ref="N116">_xlfn.IFS(
OR(ISNUMBER(SEARCH("email",D116)),ISNUMBER(SEARCH("email",F116)),ISNUMBER(SEARCH("polish",D116)),ISNUMBER(SEARCH("rewrite",F116)),ISNUMBER(SEARCH("copy",F116))),"Writing and comms",
OR(ISNUMBER(SEARCH("research",F116)),ISNUMBER(SEARCH("intel",F116)),ISNUMBER(SEARCH("company",D116)),ISNUMBER(SEARCH("digger",D116))),"Research and intel",
OR(ISNUMBER(SEARCH("prompt",D116)),ISNUMBER(SEARCH("prompt",F116))),"Prompting help",
OR(ISNUMBER(SEARCH("role",D116)),ISNUMBER(SEARCH("scorecard",F116)),ISNUMBER(SEARCH("competenc",F116))),"Role and leadership advisory",
OR(ISNUMBER(SEARCH("meeting",F116)),ISNUMBER(SEARCH("notes",F116)),ISNUMBER(SEARCH("summary",F116))),"Meeting notes and summarization",
TRUE,"Other or fragmented"
)</f>
        <v>Other or fragmented</v>
      </c>
      <c r="O116" s="3" t="s">
        <v>59</v>
      </c>
      <c r="P116" s="3"/>
    </row>
    <row r="117" spans="1:16" x14ac:dyDescent="0.25">
      <c r="A117" t="s">
        <v>15</v>
      </c>
      <c r="B117" s="1">
        <v>45992</v>
      </c>
      <c r="C117" s="1">
        <v>46022</v>
      </c>
      <c r="E117" t="s">
        <v>24</v>
      </c>
      <c r="G117">
        <v>0</v>
      </c>
      <c r="J117">
        <v>0</v>
      </c>
      <c r="K117">
        <v>0</v>
      </c>
      <c r="L117" t="s">
        <v>194</v>
      </c>
      <c r="M117" s="10" t="s">
        <v>19</v>
      </c>
      <c r="N117" s="3" t="str" cm="1">
        <f t="array" ref="N117">_xlfn.IFS(
OR(ISNUMBER(SEARCH("email",D117)),ISNUMBER(SEARCH("email",F117)),ISNUMBER(SEARCH("polish",D117)),ISNUMBER(SEARCH("rewrite",F117)),ISNUMBER(SEARCH("copy",F117))),"Writing and comms",
OR(ISNUMBER(SEARCH("research",F117)),ISNUMBER(SEARCH("intel",F117)),ISNUMBER(SEARCH("company",D117)),ISNUMBER(SEARCH("digger",D117))),"Research and intel",
OR(ISNUMBER(SEARCH("prompt",D117)),ISNUMBER(SEARCH("prompt",F117))),"Prompting help",
OR(ISNUMBER(SEARCH("role",D117)),ISNUMBER(SEARCH("scorecard",F117)),ISNUMBER(SEARCH("competenc",F117))),"Role and leadership advisory",
OR(ISNUMBER(SEARCH("meeting",F117)),ISNUMBER(SEARCH("notes",F117)),ISNUMBER(SEARCH("summary",F117))),"Meeting notes and summarization",
TRUE,"Other or fragmented"
)</f>
        <v>Other or fragmented</v>
      </c>
      <c r="O117" s="3" t="s">
        <v>59</v>
      </c>
      <c r="P117" s="3"/>
    </row>
    <row r="118" spans="1:16" x14ac:dyDescent="0.25">
      <c r="A118" t="s">
        <v>15</v>
      </c>
      <c r="B118" s="1">
        <v>45992</v>
      </c>
      <c r="C118" s="1">
        <v>46022</v>
      </c>
      <c r="E118" t="s">
        <v>24</v>
      </c>
      <c r="G118">
        <v>0</v>
      </c>
      <c r="J118">
        <v>0</v>
      </c>
      <c r="K118">
        <v>0</v>
      </c>
      <c r="L118" t="s">
        <v>195</v>
      </c>
      <c r="M118" s="9" t="s">
        <v>19</v>
      </c>
      <c r="N118" s="3" t="str" cm="1">
        <f t="array" ref="N118">_xlfn.IFS(
OR(ISNUMBER(SEARCH("email",D118)),ISNUMBER(SEARCH("email",F118)),ISNUMBER(SEARCH("polish",D118)),ISNUMBER(SEARCH("rewrite",F118)),ISNUMBER(SEARCH("copy",F118))),"Writing and comms",
OR(ISNUMBER(SEARCH("research",F118)),ISNUMBER(SEARCH("intel",F118)),ISNUMBER(SEARCH("company",D118)),ISNUMBER(SEARCH("digger",D118))),"Research and intel",
OR(ISNUMBER(SEARCH("prompt",D118)),ISNUMBER(SEARCH("prompt",F118))),"Prompting help",
OR(ISNUMBER(SEARCH("role",D118)),ISNUMBER(SEARCH("scorecard",F118)),ISNUMBER(SEARCH("competenc",F118))),"Role and leadership advisory",
OR(ISNUMBER(SEARCH("meeting",F118)),ISNUMBER(SEARCH("notes",F118)),ISNUMBER(SEARCH("summary",F118))),"Meeting notes and summarization",
TRUE,"Other or fragmented"
)</f>
        <v>Other or fragmented</v>
      </c>
      <c r="O118" s="3" t="s">
        <v>59</v>
      </c>
      <c r="P118" s="3"/>
    </row>
    <row r="119" spans="1:16" x14ac:dyDescent="0.25">
      <c r="A119" t="s">
        <v>15</v>
      </c>
      <c r="B119" s="1">
        <v>45992</v>
      </c>
      <c r="C119" s="1">
        <v>46022</v>
      </c>
      <c r="D119" t="s">
        <v>196</v>
      </c>
      <c r="E119" t="s">
        <v>17</v>
      </c>
      <c r="F119" t="s">
        <v>197</v>
      </c>
      <c r="G119">
        <v>1</v>
      </c>
      <c r="H119" s="1">
        <v>45994</v>
      </c>
      <c r="I119" s="1">
        <v>46010</v>
      </c>
      <c r="J119">
        <v>22</v>
      </c>
      <c r="K119">
        <v>7</v>
      </c>
      <c r="L119" t="s">
        <v>198</v>
      </c>
      <c r="M119" s="10" t="s">
        <v>19</v>
      </c>
      <c r="N119" s="3" t="str" cm="1">
        <f t="array" ref="N119">_xlfn.IFS(
OR(ISNUMBER(SEARCH("email",D119)),ISNUMBER(SEARCH("email",F119)),ISNUMBER(SEARCH("polish",D119)),ISNUMBER(SEARCH("rewrite",F119)),ISNUMBER(SEARCH("copy",F119))),"Writing and comms",
OR(ISNUMBER(SEARCH("research",F119)),ISNUMBER(SEARCH("intel",F119)),ISNUMBER(SEARCH("company",D119)),ISNUMBER(SEARCH("digger",D119))),"Research and intel",
OR(ISNUMBER(SEARCH("prompt",D119)),ISNUMBER(SEARCH("prompt",F119))),"Prompting help",
OR(ISNUMBER(SEARCH("role",D119)),ISNUMBER(SEARCH("scorecard",F119)),ISNUMBER(SEARCH("competenc",F119))),"Role and leadership advisory",
OR(ISNUMBER(SEARCH("meeting",F119)),ISNUMBER(SEARCH("notes",F119)),ISNUMBER(SEARCH("summary",F119))),"Meeting notes and summarization",
TRUE,"Other or fragmented"
)</f>
        <v>Other or fragmented</v>
      </c>
      <c r="O119" s="3" t="s">
        <v>59</v>
      </c>
      <c r="P119" s="3"/>
    </row>
    <row r="120" spans="1:16" x14ac:dyDescent="0.25">
      <c r="A120" t="s">
        <v>15</v>
      </c>
      <c r="B120" s="1">
        <v>45992</v>
      </c>
      <c r="C120" s="1">
        <v>46022</v>
      </c>
      <c r="E120" t="s">
        <v>24</v>
      </c>
      <c r="G120">
        <v>0</v>
      </c>
      <c r="J120">
        <v>0</v>
      </c>
      <c r="K120">
        <v>0</v>
      </c>
      <c r="L120" t="s">
        <v>199</v>
      </c>
      <c r="M120" s="9" t="s">
        <v>19</v>
      </c>
      <c r="N120" s="3" t="str" cm="1">
        <f t="array" ref="N120">_xlfn.IFS(
OR(ISNUMBER(SEARCH("email",D120)),ISNUMBER(SEARCH("email",F120)),ISNUMBER(SEARCH("polish",D120)),ISNUMBER(SEARCH("rewrite",F120)),ISNUMBER(SEARCH("copy",F120))),"Writing and comms",
OR(ISNUMBER(SEARCH("research",F120)),ISNUMBER(SEARCH("intel",F120)),ISNUMBER(SEARCH("company",D120)),ISNUMBER(SEARCH("digger",D120))),"Research and intel",
OR(ISNUMBER(SEARCH("prompt",D120)),ISNUMBER(SEARCH("prompt",F120))),"Prompting help",
OR(ISNUMBER(SEARCH("role",D120)),ISNUMBER(SEARCH("scorecard",F120)),ISNUMBER(SEARCH("competenc",F120))),"Role and leadership advisory",
OR(ISNUMBER(SEARCH("meeting",F120)),ISNUMBER(SEARCH("notes",F120)),ISNUMBER(SEARCH("summary",F120))),"Meeting notes and summarization",
TRUE,"Other or fragmented"
)</f>
        <v>Other or fragmented</v>
      </c>
      <c r="O120" s="3" t="s">
        <v>59</v>
      </c>
      <c r="P120" s="3"/>
    </row>
    <row r="121" spans="1:16" x14ac:dyDescent="0.25">
      <c r="A121" t="s">
        <v>15</v>
      </c>
      <c r="B121" s="1">
        <v>45992</v>
      </c>
      <c r="C121" s="1">
        <v>46022</v>
      </c>
      <c r="D121" t="s">
        <v>200</v>
      </c>
      <c r="E121" t="s">
        <v>24</v>
      </c>
      <c r="F121" t="s">
        <v>201</v>
      </c>
      <c r="G121">
        <v>0</v>
      </c>
      <c r="J121">
        <v>0</v>
      </c>
      <c r="K121">
        <v>0</v>
      </c>
      <c r="L121" t="s">
        <v>199</v>
      </c>
      <c r="M121" s="10" t="s">
        <v>19</v>
      </c>
      <c r="N121" s="3" t="str" cm="1">
        <f t="array" ref="N121">_xlfn.IFS(
OR(ISNUMBER(SEARCH("email",D121)),ISNUMBER(SEARCH("email",F121)),ISNUMBER(SEARCH("polish",D121)),ISNUMBER(SEARCH("rewrite",F121)),ISNUMBER(SEARCH("copy",F121))),"Writing and comms",
OR(ISNUMBER(SEARCH("research",F121)),ISNUMBER(SEARCH("intel",F121)),ISNUMBER(SEARCH("company",D121)),ISNUMBER(SEARCH("digger",D121))),"Research and intel",
OR(ISNUMBER(SEARCH("prompt",D121)),ISNUMBER(SEARCH("prompt",F121))),"Prompting help",
OR(ISNUMBER(SEARCH("role",D121)),ISNUMBER(SEARCH("scorecard",F121)),ISNUMBER(SEARCH("competenc",F121))),"Role and leadership advisory",
OR(ISNUMBER(SEARCH("meeting",F121)),ISNUMBER(SEARCH("notes",F121)),ISNUMBER(SEARCH("summary",F121))),"Meeting notes and summarization",
TRUE,"Other or fragmented"
)</f>
        <v>Other or fragmented</v>
      </c>
      <c r="O121" s="3" t="s">
        <v>59</v>
      </c>
      <c r="P121" s="3"/>
    </row>
    <row r="122" spans="1:16" x14ac:dyDescent="0.25">
      <c r="A122" t="s">
        <v>15</v>
      </c>
      <c r="B122" s="1">
        <v>45992</v>
      </c>
      <c r="C122" s="1">
        <v>46022</v>
      </c>
      <c r="D122" t="s">
        <v>202</v>
      </c>
      <c r="E122" t="s">
        <v>17</v>
      </c>
      <c r="F122" t="s">
        <v>203</v>
      </c>
      <c r="G122">
        <v>0</v>
      </c>
      <c r="J122">
        <v>0</v>
      </c>
      <c r="K122">
        <v>0</v>
      </c>
      <c r="L122" t="s">
        <v>199</v>
      </c>
      <c r="M122" s="9" t="s">
        <v>19</v>
      </c>
      <c r="N122" s="3" t="str" cm="1">
        <f t="array" ref="N122">_xlfn.IFS(
OR(ISNUMBER(SEARCH("email",D122)),ISNUMBER(SEARCH("email",F122)),ISNUMBER(SEARCH("polish",D122)),ISNUMBER(SEARCH("rewrite",F122)),ISNUMBER(SEARCH("copy",F122))),"Writing and comms",
OR(ISNUMBER(SEARCH("research",F122)),ISNUMBER(SEARCH("intel",F122)),ISNUMBER(SEARCH("company",D122)),ISNUMBER(SEARCH("digger",D122))),"Research and intel",
OR(ISNUMBER(SEARCH("prompt",D122)),ISNUMBER(SEARCH("prompt",F122))),"Prompting help",
OR(ISNUMBER(SEARCH("role",D122)),ISNUMBER(SEARCH("scorecard",F122)),ISNUMBER(SEARCH("competenc",F122))),"Role and leadership advisory",
OR(ISNUMBER(SEARCH("meeting",F122)),ISNUMBER(SEARCH("notes",F122)),ISNUMBER(SEARCH("summary",F122))),"Meeting notes and summarization",
TRUE,"Other or fragmented"
)</f>
        <v>Other or fragmented</v>
      </c>
      <c r="O122" s="3" t="s">
        <v>59</v>
      </c>
      <c r="P122" s="3"/>
    </row>
    <row r="123" spans="1:16" x14ac:dyDescent="0.25">
      <c r="A123" t="s">
        <v>15</v>
      </c>
      <c r="B123" s="1">
        <v>45992</v>
      </c>
      <c r="C123" s="1">
        <v>46022</v>
      </c>
      <c r="D123" t="s">
        <v>204</v>
      </c>
      <c r="E123" t="s">
        <v>17</v>
      </c>
      <c r="F123" t="s">
        <v>205</v>
      </c>
      <c r="G123">
        <v>0</v>
      </c>
      <c r="J123">
        <v>0</v>
      </c>
      <c r="K123">
        <v>0</v>
      </c>
      <c r="L123" t="s">
        <v>206</v>
      </c>
      <c r="M123" s="10" t="s">
        <v>19</v>
      </c>
      <c r="N123" s="3" t="str" cm="1">
        <f t="array" ref="N123">_xlfn.IFS(
OR(ISNUMBER(SEARCH("email",D123)),ISNUMBER(SEARCH("email",F123)),ISNUMBER(SEARCH("polish",D123)),ISNUMBER(SEARCH("rewrite",F123)),ISNUMBER(SEARCH("copy",F123))),"Writing and comms",
OR(ISNUMBER(SEARCH("research",F123)),ISNUMBER(SEARCH("intel",F123)),ISNUMBER(SEARCH("company",D123)),ISNUMBER(SEARCH("digger",D123))),"Research and intel",
OR(ISNUMBER(SEARCH("prompt",D123)),ISNUMBER(SEARCH("prompt",F123))),"Prompting help",
OR(ISNUMBER(SEARCH("role",D123)),ISNUMBER(SEARCH("scorecard",F123)),ISNUMBER(SEARCH("competenc",F123))),"Role and leadership advisory",
OR(ISNUMBER(SEARCH("meeting",F123)),ISNUMBER(SEARCH("notes",F123)),ISNUMBER(SEARCH("summary",F123))),"Meeting notes and summarization",
TRUE,"Other or fragmented"
)</f>
        <v>Other or fragmented</v>
      </c>
      <c r="O123" s="3" t="s">
        <v>59</v>
      </c>
      <c r="P123" s="3"/>
    </row>
    <row r="124" spans="1:16" x14ac:dyDescent="0.25">
      <c r="A124" t="s">
        <v>15</v>
      </c>
      <c r="B124" s="1">
        <v>45992</v>
      </c>
      <c r="C124" s="1">
        <v>46022</v>
      </c>
      <c r="D124" t="s">
        <v>207</v>
      </c>
      <c r="E124" t="s">
        <v>17</v>
      </c>
      <c r="F124" t="s">
        <v>208</v>
      </c>
      <c r="G124">
        <v>0</v>
      </c>
      <c r="J124">
        <v>0</v>
      </c>
      <c r="K124">
        <v>0</v>
      </c>
      <c r="L124" t="s">
        <v>206</v>
      </c>
      <c r="M124" s="9" t="s">
        <v>19</v>
      </c>
      <c r="N124" s="3" t="str" cm="1">
        <f t="array" ref="N124">_xlfn.IFS(
OR(ISNUMBER(SEARCH("email",D124)),ISNUMBER(SEARCH("email",F124)),ISNUMBER(SEARCH("polish",D124)),ISNUMBER(SEARCH("rewrite",F124)),ISNUMBER(SEARCH("copy",F124))),"Writing and comms",
OR(ISNUMBER(SEARCH("research",F124)),ISNUMBER(SEARCH("intel",F124)),ISNUMBER(SEARCH("company",D124)),ISNUMBER(SEARCH("digger",D124))),"Research and intel",
OR(ISNUMBER(SEARCH("prompt",D124)),ISNUMBER(SEARCH("prompt",F124))),"Prompting help",
OR(ISNUMBER(SEARCH("role",D124)),ISNUMBER(SEARCH("scorecard",F124)),ISNUMBER(SEARCH("competenc",F124))),"Role and leadership advisory",
OR(ISNUMBER(SEARCH("meeting",F124)),ISNUMBER(SEARCH("notes",F124)),ISNUMBER(SEARCH("summary",F124))),"Meeting notes and summarization",
TRUE,"Other or fragmented"
)</f>
        <v>Other or fragmented</v>
      </c>
      <c r="O124" s="3" t="s">
        <v>59</v>
      </c>
      <c r="P124" s="3"/>
    </row>
    <row r="125" spans="1:16" x14ac:dyDescent="0.25">
      <c r="A125" t="s">
        <v>15</v>
      </c>
      <c r="B125" s="1">
        <v>45992</v>
      </c>
      <c r="C125" s="1">
        <v>46022</v>
      </c>
      <c r="E125" t="s">
        <v>24</v>
      </c>
      <c r="G125">
        <v>0</v>
      </c>
      <c r="J125">
        <v>0</v>
      </c>
      <c r="K125">
        <v>0</v>
      </c>
      <c r="L125" t="s">
        <v>206</v>
      </c>
      <c r="M125" s="10" t="s">
        <v>19</v>
      </c>
      <c r="N125" s="3" t="str" cm="1">
        <f t="array" ref="N125">_xlfn.IFS(
OR(ISNUMBER(SEARCH("email",D125)),ISNUMBER(SEARCH("email",F125)),ISNUMBER(SEARCH("polish",D125)),ISNUMBER(SEARCH("rewrite",F125)),ISNUMBER(SEARCH("copy",F125))),"Writing and comms",
OR(ISNUMBER(SEARCH("research",F125)),ISNUMBER(SEARCH("intel",F125)),ISNUMBER(SEARCH("company",D125)),ISNUMBER(SEARCH("digger",D125))),"Research and intel",
OR(ISNUMBER(SEARCH("prompt",D125)),ISNUMBER(SEARCH("prompt",F125))),"Prompting help",
OR(ISNUMBER(SEARCH("role",D125)),ISNUMBER(SEARCH("scorecard",F125)),ISNUMBER(SEARCH("competenc",F125))),"Role and leadership advisory",
OR(ISNUMBER(SEARCH("meeting",F125)),ISNUMBER(SEARCH("notes",F125)),ISNUMBER(SEARCH("summary",F125))),"Meeting notes and summarization",
TRUE,"Other or fragmented"
)</f>
        <v>Other or fragmented</v>
      </c>
      <c r="O125" s="3" t="s">
        <v>59</v>
      </c>
      <c r="P125" s="3"/>
    </row>
    <row r="126" spans="1:16" x14ac:dyDescent="0.25">
      <c r="A126" t="s">
        <v>15</v>
      </c>
      <c r="B126" s="1">
        <v>45992</v>
      </c>
      <c r="C126" s="1">
        <v>46022</v>
      </c>
      <c r="D126" t="s">
        <v>209</v>
      </c>
      <c r="E126" t="s">
        <v>17</v>
      </c>
      <c r="F126" t="s">
        <v>210</v>
      </c>
      <c r="G126">
        <v>1</v>
      </c>
      <c r="H126" s="1">
        <v>45994</v>
      </c>
      <c r="I126" s="1">
        <v>46009</v>
      </c>
      <c r="J126">
        <v>4</v>
      </c>
      <c r="K126">
        <v>2</v>
      </c>
      <c r="L126" t="s">
        <v>211</v>
      </c>
      <c r="M126" s="9" t="s">
        <v>19</v>
      </c>
      <c r="N126" s="3" t="str" cm="1">
        <f t="array" ref="N126">_xlfn.IFS(
OR(ISNUMBER(SEARCH("email",D126)),ISNUMBER(SEARCH("email",F126)),ISNUMBER(SEARCH("polish",D126)),ISNUMBER(SEARCH("rewrite",F126)),ISNUMBER(SEARCH("copy",F126))),"Writing and comms",
OR(ISNUMBER(SEARCH("research",F126)),ISNUMBER(SEARCH("intel",F126)),ISNUMBER(SEARCH("company",D126)),ISNUMBER(SEARCH("digger",D126))),"Research and intel",
OR(ISNUMBER(SEARCH("prompt",D126)),ISNUMBER(SEARCH("prompt",F126))),"Prompting help",
OR(ISNUMBER(SEARCH("role",D126)),ISNUMBER(SEARCH("scorecard",F126)),ISNUMBER(SEARCH("competenc",F126))),"Role and leadership advisory",
OR(ISNUMBER(SEARCH("meeting",F126)),ISNUMBER(SEARCH("notes",F126)),ISNUMBER(SEARCH("summary",F126))),"Meeting notes and summarization",
TRUE,"Other or fragmented"
)</f>
        <v>Meeting notes and summarization</v>
      </c>
      <c r="O126" s="3" t="s">
        <v>59</v>
      </c>
      <c r="P126" s="3"/>
    </row>
    <row r="127" spans="1:16" x14ac:dyDescent="0.25">
      <c r="A127" t="s">
        <v>15</v>
      </c>
      <c r="B127" s="1">
        <v>45992</v>
      </c>
      <c r="C127" s="1">
        <v>46022</v>
      </c>
      <c r="E127" t="s">
        <v>24</v>
      </c>
      <c r="G127">
        <v>0</v>
      </c>
      <c r="J127">
        <v>0</v>
      </c>
      <c r="K127">
        <v>0</v>
      </c>
      <c r="L127" t="s">
        <v>211</v>
      </c>
      <c r="M127" s="10" t="s">
        <v>19</v>
      </c>
      <c r="N127" s="3" t="str" cm="1">
        <f t="array" ref="N127">_xlfn.IFS(
OR(ISNUMBER(SEARCH("email",D127)),ISNUMBER(SEARCH("email",F127)),ISNUMBER(SEARCH("polish",D127)),ISNUMBER(SEARCH("rewrite",F127)),ISNUMBER(SEARCH("copy",F127))),"Writing and comms",
OR(ISNUMBER(SEARCH("research",F127)),ISNUMBER(SEARCH("intel",F127)),ISNUMBER(SEARCH("company",D127)),ISNUMBER(SEARCH("digger",D127))),"Research and intel",
OR(ISNUMBER(SEARCH("prompt",D127)),ISNUMBER(SEARCH("prompt",F127))),"Prompting help",
OR(ISNUMBER(SEARCH("role",D127)),ISNUMBER(SEARCH("scorecard",F127)),ISNUMBER(SEARCH("competenc",F127))),"Role and leadership advisory",
OR(ISNUMBER(SEARCH("meeting",F127)),ISNUMBER(SEARCH("notes",F127)),ISNUMBER(SEARCH("summary",F127))),"Meeting notes and summarization",
TRUE,"Other or fragmented"
)</f>
        <v>Other or fragmented</v>
      </c>
      <c r="O127" s="3" t="s">
        <v>59</v>
      </c>
      <c r="P127" s="3"/>
    </row>
    <row r="128" spans="1:16" x14ac:dyDescent="0.25">
      <c r="A128" t="s">
        <v>15</v>
      </c>
      <c r="B128" s="1">
        <v>45992</v>
      </c>
      <c r="C128" s="1">
        <v>46022</v>
      </c>
      <c r="D128" t="s">
        <v>212</v>
      </c>
      <c r="E128" t="s">
        <v>17</v>
      </c>
      <c r="G128">
        <v>1</v>
      </c>
      <c r="H128" s="1">
        <v>45992</v>
      </c>
      <c r="I128" s="1">
        <v>46021</v>
      </c>
      <c r="J128">
        <v>193</v>
      </c>
      <c r="K128">
        <v>1</v>
      </c>
      <c r="L128" t="s">
        <v>213</v>
      </c>
      <c r="M128" s="9" t="s">
        <v>12</v>
      </c>
      <c r="N128" s="3" t="str" cm="1">
        <f t="array" ref="N128">_xlfn.IFS(
OR(ISNUMBER(SEARCH("email",D128)),ISNUMBER(SEARCH("email",F128)),ISNUMBER(SEARCH("polish",D128)),ISNUMBER(SEARCH("rewrite",F128)),ISNUMBER(SEARCH("copy",F128))),"Writing and comms",
OR(ISNUMBER(SEARCH("research",F128)),ISNUMBER(SEARCH("intel",F128)),ISNUMBER(SEARCH("company",D128)),ISNUMBER(SEARCH("digger",D128))),"Research and intel",
OR(ISNUMBER(SEARCH("prompt",D128)),ISNUMBER(SEARCH("prompt",F128))),"Prompting help",
OR(ISNUMBER(SEARCH("role",D128)),ISNUMBER(SEARCH("scorecard",F128)),ISNUMBER(SEARCH("competenc",F128))),"Role and leadership advisory",
OR(ISNUMBER(SEARCH("meeting",F128)),ISNUMBER(SEARCH("notes",F128)),ISNUMBER(SEARCH("summary",F128))),"Meeting notes and summarization",
TRUE,"Other or fragmented"
)</f>
        <v>Other or fragmented</v>
      </c>
      <c r="O128" s="3" t="s">
        <v>59</v>
      </c>
      <c r="P128" s="3"/>
    </row>
    <row r="129" spans="1:16" x14ac:dyDescent="0.25">
      <c r="A129" t="s">
        <v>15</v>
      </c>
      <c r="B129" s="1">
        <v>45992</v>
      </c>
      <c r="C129" s="1">
        <v>46022</v>
      </c>
      <c r="D129" t="s">
        <v>214</v>
      </c>
      <c r="E129" t="s">
        <v>17</v>
      </c>
      <c r="F129" t="s">
        <v>215</v>
      </c>
      <c r="G129">
        <v>1</v>
      </c>
      <c r="H129" s="1">
        <v>45992</v>
      </c>
      <c r="I129" s="1">
        <v>45995</v>
      </c>
      <c r="J129">
        <v>11</v>
      </c>
      <c r="K129">
        <v>1</v>
      </c>
      <c r="L129" t="s">
        <v>216</v>
      </c>
      <c r="M129" s="10" t="s">
        <v>19</v>
      </c>
      <c r="N129" s="3" t="str" cm="1">
        <f t="array" ref="N129">_xlfn.IFS(
OR(ISNUMBER(SEARCH("email",D129)),ISNUMBER(SEARCH("email",F129)),ISNUMBER(SEARCH("polish",D129)),ISNUMBER(SEARCH("rewrite",F129)),ISNUMBER(SEARCH("copy",F129))),"Writing and comms",
OR(ISNUMBER(SEARCH("research",F129)),ISNUMBER(SEARCH("intel",F129)),ISNUMBER(SEARCH("company",D129)),ISNUMBER(SEARCH("digger",D129))),"Research and intel",
OR(ISNUMBER(SEARCH("prompt",D129)),ISNUMBER(SEARCH("prompt",F129))),"Prompting help",
OR(ISNUMBER(SEARCH("role",D129)),ISNUMBER(SEARCH("scorecard",F129)),ISNUMBER(SEARCH("competenc",F129))),"Role and leadership advisory",
OR(ISNUMBER(SEARCH("meeting",F129)),ISNUMBER(SEARCH("notes",F129)),ISNUMBER(SEARCH("summary",F129))),"Meeting notes and summarization",
TRUE,"Other or fragmented"
)</f>
        <v>Other or fragmented</v>
      </c>
      <c r="O129" s="3" t="s">
        <v>59</v>
      </c>
      <c r="P129" s="3"/>
    </row>
    <row r="130" spans="1:16" x14ac:dyDescent="0.25">
      <c r="A130" t="s">
        <v>15</v>
      </c>
      <c r="B130" s="1">
        <v>45992</v>
      </c>
      <c r="C130" s="1">
        <v>46022</v>
      </c>
      <c r="D130" t="s">
        <v>217</v>
      </c>
      <c r="E130" t="s">
        <v>24</v>
      </c>
      <c r="F130" t="s">
        <v>218</v>
      </c>
      <c r="G130">
        <v>1</v>
      </c>
      <c r="H130" s="1">
        <v>45994</v>
      </c>
      <c r="I130" s="1">
        <v>46008</v>
      </c>
      <c r="J130">
        <v>37</v>
      </c>
      <c r="K130">
        <v>1</v>
      </c>
      <c r="L130" t="s">
        <v>219</v>
      </c>
      <c r="M130" s="9" t="s">
        <v>19</v>
      </c>
      <c r="N130" s="3" t="str" cm="1">
        <f t="array" ref="N130">_xlfn.IFS(
OR(ISNUMBER(SEARCH("email",D130)),ISNUMBER(SEARCH("email",F130)),ISNUMBER(SEARCH("polish",D130)),ISNUMBER(SEARCH("rewrite",F130)),ISNUMBER(SEARCH("copy",F130))),"Writing and comms",
OR(ISNUMBER(SEARCH("research",F130)),ISNUMBER(SEARCH("intel",F130)),ISNUMBER(SEARCH("company",D130)),ISNUMBER(SEARCH("digger",D130))),"Research and intel",
OR(ISNUMBER(SEARCH("prompt",D130)),ISNUMBER(SEARCH("prompt",F130))),"Prompting help",
OR(ISNUMBER(SEARCH("role",D130)),ISNUMBER(SEARCH("scorecard",F130)),ISNUMBER(SEARCH("competenc",F130))),"Role and leadership advisory",
OR(ISNUMBER(SEARCH("meeting",F130)),ISNUMBER(SEARCH("notes",F130)),ISNUMBER(SEARCH("summary",F130))),"Meeting notes and summarization",
TRUE,"Other or fragmented"
)</f>
        <v>Other or fragmented</v>
      </c>
      <c r="O130" s="3" t="s">
        <v>59</v>
      </c>
      <c r="P130" s="3"/>
    </row>
    <row r="131" spans="1:16" x14ac:dyDescent="0.25">
      <c r="A131" t="s">
        <v>15</v>
      </c>
      <c r="B131" s="1">
        <v>45992</v>
      </c>
      <c r="C131" s="1">
        <v>46022</v>
      </c>
      <c r="E131" t="s">
        <v>24</v>
      </c>
      <c r="G131">
        <v>0</v>
      </c>
      <c r="J131">
        <v>0</v>
      </c>
      <c r="K131">
        <v>0</v>
      </c>
      <c r="L131" t="s">
        <v>219</v>
      </c>
      <c r="M131" s="10" t="s">
        <v>19</v>
      </c>
      <c r="N131" s="3" t="str" cm="1">
        <f t="array" ref="N131">_xlfn.IFS(
OR(ISNUMBER(SEARCH("email",D131)),ISNUMBER(SEARCH("email",F131)),ISNUMBER(SEARCH("polish",D131)),ISNUMBER(SEARCH("rewrite",F131)),ISNUMBER(SEARCH("copy",F131))),"Writing and comms",
OR(ISNUMBER(SEARCH("research",F131)),ISNUMBER(SEARCH("intel",F131)),ISNUMBER(SEARCH("company",D131)),ISNUMBER(SEARCH("digger",D131))),"Research and intel",
OR(ISNUMBER(SEARCH("prompt",D131)),ISNUMBER(SEARCH("prompt",F131))),"Prompting help",
OR(ISNUMBER(SEARCH("role",D131)),ISNUMBER(SEARCH("scorecard",F131)),ISNUMBER(SEARCH("competenc",F131))),"Role and leadership advisory",
OR(ISNUMBER(SEARCH("meeting",F131)),ISNUMBER(SEARCH("notes",F131)),ISNUMBER(SEARCH("summary",F131))),"Meeting notes and summarization",
TRUE,"Other or fragmented"
)</f>
        <v>Other or fragmented</v>
      </c>
      <c r="O131" s="3" t="s">
        <v>59</v>
      </c>
      <c r="P131" s="3"/>
    </row>
    <row r="132" spans="1:16" x14ac:dyDescent="0.25">
      <c r="A132" t="s">
        <v>15</v>
      </c>
      <c r="B132" s="1">
        <v>45992</v>
      </c>
      <c r="C132" s="1">
        <v>46022</v>
      </c>
      <c r="E132" t="s">
        <v>24</v>
      </c>
      <c r="G132">
        <v>0</v>
      </c>
      <c r="J132">
        <v>0</v>
      </c>
      <c r="K132">
        <v>0</v>
      </c>
      <c r="L132" t="s">
        <v>219</v>
      </c>
      <c r="M132" s="9" t="s">
        <v>19</v>
      </c>
      <c r="N132" s="3" t="str" cm="1">
        <f t="array" ref="N132">_xlfn.IFS(
OR(ISNUMBER(SEARCH("email",D132)),ISNUMBER(SEARCH("email",F132)),ISNUMBER(SEARCH("polish",D132)),ISNUMBER(SEARCH("rewrite",F132)),ISNUMBER(SEARCH("copy",F132))),"Writing and comms",
OR(ISNUMBER(SEARCH("research",F132)),ISNUMBER(SEARCH("intel",F132)),ISNUMBER(SEARCH("company",D132)),ISNUMBER(SEARCH("digger",D132))),"Research and intel",
OR(ISNUMBER(SEARCH("prompt",D132)),ISNUMBER(SEARCH("prompt",F132))),"Prompting help",
OR(ISNUMBER(SEARCH("role",D132)),ISNUMBER(SEARCH("scorecard",F132)),ISNUMBER(SEARCH("competenc",F132))),"Role and leadership advisory",
OR(ISNUMBER(SEARCH("meeting",F132)),ISNUMBER(SEARCH("notes",F132)),ISNUMBER(SEARCH("summary",F132))),"Meeting notes and summarization",
TRUE,"Other or fragmented"
)</f>
        <v>Other or fragmented</v>
      </c>
      <c r="O132" s="3" t="s">
        <v>59</v>
      </c>
      <c r="P132" s="3"/>
    </row>
    <row r="133" spans="1:16" x14ac:dyDescent="0.25">
      <c r="A133" t="s">
        <v>15</v>
      </c>
      <c r="B133" s="1">
        <v>45992</v>
      </c>
      <c r="C133" s="1">
        <v>46022</v>
      </c>
      <c r="E133" t="s">
        <v>24</v>
      </c>
      <c r="G133">
        <v>0</v>
      </c>
      <c r="J133">
        <v>0</v>
      </c>
      <c r="K133">
        <v>0</v>
      </c>
      <c r="L133" t="s">
        <v>220</v>
      </c>
      <c r="M133" s="10" t="s">
        <v>19</v>
      </c>
      <c r="N133" s="3" t="str" cm="1">
        <f t="array" ref="N133">_xlfn.IFS(
OR(ISNUMBER(SEARCH("email",D133)),ISNUMBER(SEARCH("email",F133)),ISNUMBER(SEARCH("polish",D133)),ISNUMBER(SEARCH("rewrite",F133)),ISNUMBER(SEARCH("copy",F133))),"Writing and comms",
OR(ISNUMBER(SEARCH("research",F133)),ISNUMBER(SEARCH("intel",F133)),ISNUMBER(SEARCH("company",D133)),ISNUMBER(SEARCH("digger",D133))),"Research and intel",
OR(ISNUMBER(SEARCH("prompt",D133)),ISNUMBER(SEARCH("prompt",F133))),"Prompting help",
OR(ISNUMBER(SEARCH("role",D133)),ISNUMBER(SEARCH("scorecard",F133)),ISNUMBER(SEARCH("competenc",F133))),"Role and leadership advisory",
OR(ISNUMBER(SEARCH("meeting",F133)),ISNUMBER(SEARCH("notes",F133)),ISNUMBER(SEARCH("summary",F133))),"Meeting notes and summarization",
TRUE,"Other or fragmented"
)</f>
        <v>Other or fragmented</v>
      </c>
      <c r="O133" s="3" t="s">
        <v>59</v>
      </c>
      <c r="P133" s="3"/>
    </row>
    <row r="134" spans="1:16" x14ac:dyDescent="0.25">
      <c r="A134" t="s">
        <v>15</v>
      </c>
      <c r="B134" s="1">
        <v>45992</v>
      </c>
      <c r="C134" s="1">
        <v>46022</v>
      </c>
      <c r="D134" t="s">
        <v>221</v>
      </c>
      <c r="E134" t="s">
        <v>17</v>
      </c>
      <c r="F134" t="s">
        <v>222</v>
      </c>
      <c r="G134">
        <v>1</v>
      </c>
      <c r="H134" s="1">
        <v>46007</v>
      </c>
      <c r="I134" s="1">
        <v>46009</v>
      </c>
      <c r="J134">
        <v>6</v>
      </c>
      <c r="K134">
        <v>2</v>
      </c>
      <c r="L134" t="s">
        <v>223</v>
      </c>
      <c r="M134" s="9" t="s">
        <v>19</v>
      </c>
      <c r="N134" s="3" t="str" cm="1">
        <f t="array" ref="N134">_xlfn.IFS(
OR(ISNUMBER(SEARCH("email",D134)),ISNUMBER(SEARCH("email",F134)),ISNUMBER(SEARCH("polish",D134)),ISNUMBER(SEARCH("rewrite",F134)),ISNUMBER(SEARCH("copy",F134))),"Writing and comms",
OR(ISNUMBER(SEARCH("research",F134)),ISNUMBER(SEARCH("intel",F134)),ISNUMBER(SEARCH("company",D134)),ISNUMBER(SEARCH("digger",D134))),"Research and intel",
OR(ISNUMBER(SEARCH("prompt",D134)),ISNUMBER(SEARCH("prompt",F134))),"Prompting help",
OR(ISNUMBER(SEARCH("role",D134)),ISNUMBER(SEARCH("scorecard",F134)),ISNUMBER(SEARCH("competenc",F134))),"Role and leadership advisory",
OR(ISNUMBER(SEARCH("meeting",F134)),ISNUMBER(SEARCH("notes",F134)),ISNUMBER(SEARCH("summary",F134))),"Meeting notes and summarization",
TRUE,"Other or fragmented"
)</f>
        <v>Other or fragmented</v>
      </c>
      <c r="O134" s="3" t="s">
        <v>23</v>
      </c>
      <c r="P134" s="3"/>
    </row>
    <row r="135" spans="1:16" x14ac:dyDescent="0.25">
      <c r="A135" t="s">
        <v>15</v>
      </c>
      <c r="B135" s="1">
        <v>45992</v>
      </c>
      <c r="C135" s="1">
        <v>46022</v>
      </c>
      <c r="D135" t="s">
        <v>224</v>
      </c>
      <c r="E135" t="s">
        <v>17</v>
      </c>
      <c r="F135" t="s">
        <v>225</v>
      </c>
      <c r="G135">
        <v>0</v>
      </c>
      <c r="J135">
        <v>0</v>
      </c>
      <c r="K135">
        <v>0</v>
      </c>
      <c r="L135" t="s">
        <v>223</v>
      </c>
      <c r="M135" s="10" t="s">
        <v>19</v>
      </c>
      <c r="N135" s="3" t="str" cm="1">
        <f t="array" ref="N135">_xlfn.IFS(
OR(ISNUMBER(SEARCH("email",D135)),ISNUMBER(SEARCH("email",F135)),ISNUMBER(SEARCH("polish",D135)),ISNUMBER(SEARCH("rewrite",F135)),ISNUMBER(SEARCH("copy",F135))),"Writing and comms",
OR(ISNUMBER(SEARCH("research",F135)),ISNUMBER(SEARCH("intel",F135)),ISNUMBER(SEARCH("company",D135)),ISNUMBER(SEARCH("digger",D135))),"Research and intel",
OR(ISNUMBER(SEARCH("prompt",D135)),ISNUMBER(SEARCH("prompt",F135))),"Prompting help",
OR(ISNUMBER(SEARCH("role",D135)),ISNUMBER(SEARCH("scorecard",F135)),ISNUMBER(SEARCH("competenc",F135))),"Role and leadership advisory",
OR(ISNUMBER(SEARCH("meeting",F135)),ISNUMBER(SEARCH("notes",F135)),ISNUMBER(SEARCH("summary",F135))),"Meeting notes and summarization",
TRUE,"Other or fragmented"
)</f>
        <v>Other or fragmented</v>
      </c>
      <c r="O135" s="3" t="s">
        <v>23</v>
      </c>
      <c r="P135" s="3"/>
    </row>
    <row r="136" spans="1:16" x14ac:dyDescent="0.25">
      <c r="A136" t="s">
        <v>15</v>
      </c>
      <c r="B136" s="1">
        <v>45992</v>
      </c>
      <c r="C136" s="1">
        <v>46022</v>
      </c>
      <c r="D136" t="s">
        <v>226</v>
      </c>
      <c r="E136" t="s">
        <v>17</v>
      </c>
      <c r="F136" t="s">
        <v>227</v>
      </c>
      <c r="G136">
        <v>0</v>
      </c>
      <c r="J136">
        <v>0</v>
      </c>
      <c r="K136">
        <v>0</v>
      </c>
      <c r="L136" t="s">
        <v>223</v>
      </c>
      <c r="M136" s="9" t="s">
        <v>19</v>
      </c>
      <c r="N136" s="3" t="str" cm="1">
        <f t="array" ref="N136">_xlfn.IFS(
OR(ISNUMBER(SEARCH("email",D136)),ISNUMBER(SEARCH("email",F136)),ISNUMBER(SEARCH("polish",D136)),ISNUMBER(SEARCH("rewrite",F136)),ISNUMBER(SEARCH("copy",F136))),"Writing and comms",
OR(ISNUMBER(SEARCH("research",F136)),ISNUMBER(SEARCH("intel",F136)),ISNUMBER(SEARCH("company",D136)),ISNUMBER(SEARCH("digger",D136))),"Research and intel",
OR(ISNUMBER(SEARCH("prompt",D136)),ISNUMBER(SEARCH("prompt",F136))),"Prompting help",
OR(ISNUMBER(SEARCH("role",D136)),ISNUMBER(SEARCH("scorecard",F136)),ISNUMBER(SEARCH("competenc",F136))),"Role and leadership advisory",
OR(ISNUMBER(SEARCH("meeting",F136)),ISNUMBER(SEARCH("notes",F136)),ISNUMBER(SEARCH("summary",F136))),"Meeting notes and summarization",
TRUE,"Other or fragmented"
)</f>
        <v>Other or fragmented</v>
      </c>
      <c r="O136" s="3" t="s">
        <v>23</v>
      </c>
      <c r="P136" s="3"/>
    </row>
    <row r="137" spans="1:16" x14ac:dyDescent="0.25">
      <c r="A137" t="s">
        <v>15</v>
      </c>
      <c r="B137" s="1">
        <v>45992</v>
      </c>
      <c r="C137" s="1">
        <v>46022</v>
      </c>
      <c r="D137" t="s">
        <v>228</v>
      </c>
      <c r="E137" t="s">
        <v>17</v>
      </c>
      <c r="F137" t="s">
        <v>229</v>
      </c>
      <c r="G137">
        <v>1</v>
      </c>
      <c r="H137" s="1">
        <v>46006</v>
      </c>
      <c r="I137" s="1">
        <v>46006</v>
      </c>
      <c r="J137">
        <v>3</v>
      </c>
      <c r="K137">
        <v>1</v>
      </c>
      <c r="L137" t="s">
        <v>230</v>
      </c>
      <c r="M137" s="10" t="s">
        <v>19</v>
      </c>
      <c r="N137" s="3" t="str" cm="1">
        <f t="array" ref="N137">_xlfn.IFS(
OR(ISNUMBER(SEARCH("email",D137)),ISNUMBER(SEARCH("email",F137)),ISNUMBER(SEARCH("polish",D137)),ISNUMBER(SEARCH("rewrite",F137)),ISNUMBER(SEARCH("copy",F137))),"Writing and comms",
OR(ISNUMBER(SEARCH("research",F137)),ISNUMBER(SEARCH("intel",F137)),ISNUMBER(SEARCH("company",D137)),ISNUMBER(SEARCH("digger",D137))),"Research and intel",
OR(ISNUMBER(SEARCH("prompt",D137)),ISNUMBER(SEARCH("prompt",F137))),"Prompting help",
OR(ISNUMBER(SEARCH("role",D137)),ISNUMBER(SEARCH("scorecard",F137)),ISNUMBER(SEARCH("competenc",F137))),"Role and leadership advisory",
OR(ISNUMBER(SEARCH("meeting",F137)),ISNUMBER(SEARCH("notes",F137)),ISNUMBER(SEARCH("summary",F137))),"Meeting notes and summarization",
TRUE,"Other or fragmented"
)</f>
        <v>Other or fragmented</v>
      </c>
      <c r="O137" s="3" t="s">
        <v>23</v>
      </c>
      <c r="P137" s="3"/>
    </row>
    <row r="138" spans="1:16" x14ac:dyDescent="0.25">
      <c r="A138" t="s">
        <v>15</v>
      </c>
      <c r="B138" s="1">
        <v>45992</v>
      </c>
      <c r="C138" s="1">
        <v>46022</v>
      </c>
      <c r="D138" t="s">
        <v>231</v>
      </c>
      <c r="E138" t="s">
        <v>17</v>
      </c>
      <c r="F138" t="s">
        <v>232</v>
      </c>
      <c r="G138">
        <v>1</v>
      </c>
      <c r="H138" s="1">
        <v>45992</v>
      </c>
      <c r="I138" s="1">
        <v>46007</v>
      </c>
      <c r="J138">
        <v>50</v>
      </c>
      <c r="K138">
        <v>1</v>
      </c>
      <c r="L138" t="s">
        <v>230</v>
      </c>
      <c r="M138" s="9" t="s">
        <v>19</v>
      </c>
      <c r="N138" s="3" t="str" cm="1">
        <f t="array" ref="N138">_xlfn.IFS(
OR(ISNUMBER(SEARCH("email",D138)),ISNUMBER(SEARCH("email",F138)),ISNUMBER(SEARCH("polish",D138)),ISNUMBER(SEARCH("rewrite",F138)),ISNUMBER(SEARCH("copy",F138))),"Writing and comms",
OR(ISNUMBER(SEARCH("research",F138)),ISNUMBER(SEARCH("intel",F138)),ISNUMBER(SEARCH("company",D138)),ISNUMBER(SEARCH("digger",D138))),"Research and intel",
OR(ISNUMBER(SEARCH("prompt",D138)),ISNUMBER(SEARCH("prompt",F138))),"Prompting help",
OR(ISNUMBER(SEARCH("role",D138)),ISNUMBER(SEARCH("scorecard",F138)),ISNUMBER(SEARCH("competenc",F138))),"Role and leadership advisory",
OR(ISNUMBER(SEARCH("meeting",F138)),ISNUMBER(SEARCH("notes",F138)),ISNUMBER(SEARCH("summary",F138))),"Meeting notes and summarization",
TRUE,"Other or fragmented"
)</f>
        <v>Other or fragmented</v>
      </c>
      <c r="O138" s="3" t="s">
        <v>23</v>
      </c>
      <c r="P138" s="3"/>
    </row>
    <row r="139" spans="1:16" x14ac:dyDescent="0.25">
      <c r="A139" t="s">
        <v>15</v>
      </c>
      <c r="B139" s="1">
        <v>45992</v>
      </c>
      <c r="C139" s="1">
        <v>46022</v>
      </c>
      <c r="D139" t="s">
        <v>233</v>
      </c>
      <c r="E139" t="s">
        <v>24</v>
      </c>
      <c r="G139">
        <v>0</v>
      </c>
      <c r="J139">
        <v>0</v>
      </c>
      <c r="K139">
        <v>0</v>
      </c>
      <c r="L139" t="s">
        <v>230</v>
      </c>
      <c r="M139" s="10" t="s">
        <v>19</v>
      </c>
      <c r="N139" s="3" t="str" cm="1">
        <f t="array" ref="N139">_xlfn.IFS(
OR(ISNUMBER(SEARCH("email",D139)),ISNUMBER(SEARCH("email",F139)),ISNUMBER(SEARCH("polish",D139)),ISNUMBER(SEARCH("rewrite",F139)),ISNUMBER(SEARCH("copy",F139))),"Writing and comms",
OR(ISNUMBER(SEARCH("research",F139)),ISNUMBER(SEARCH("intel",F139)),ISNUMBER(SEARCH("company",D139)),ISNUMBER(SEARCH("digger",D139))),"Research and intel",
OR(ISNUMBER(SEARCH("prompt",D139)),ISNUMBER(SEARCH("prompt",F139))),"Prompting help",
OR(ISNUMBER(SEARCH("role",D139)),ISNUMBER(SEARCH("scorecard",F139)),ISNUMBER(SEARCH("competenc",F139))),"Role and leadership advisory",
OR(ISNUMBER(SEARCH("meeting",F139)),ISNUMBER(SEARCH("notes",F139)),ISNUMBER(SEARCH("summary",F139))),"Meeting notes and summarization",
TRUE,"Other or fragmented"
)</f>
        <v>Other or fragmented</v>
      </c>
      <c r="O139" s="3" t="s">
        <v>23</v>
      </c>
      <c r="P139" s="3"/>
    </row>
    <row r="140" spans="1:16" x14ac:dyDescent="0.25">
      <c r="A140" t="s">
        <v>15</v>
      </c>
      <c r="B140" s="1">
        <v>45992</v>
      </c>
      <c r="C140" s="1">
        <v>46022</v>
      </c>
      <c r="E140" t="s">
        <v>24</v>
      </c>
      <c r="G140">
        <v>0</v>
      </c>
      <c r="J140">
        <v>0</v>
      </c>
      <c r="K140">
        <v>0</v>
      </c>
      <c r="L140" t="s">
        <v>230</v>
      </c>
      <c r="M140" s="9" t="s">
        <v>19</v>
      </c>
      <c r="N140" s="3" t="str" cm="1">
        <f t="array" ref="N140">_xlfn.IFS(
OR(ISNUMBER(SEARCH("email",D140)),ISNUMBER(SEARCH("email",F140)),ISNUMBER(SEARCH("polish",D140)),ISNUMBER(SEARCH("rewrite",F140)),ISNUMBER(SEARCH("copy",F140))),"Writing and comms",
OR(ISNUMBER(SEARCH("research",F140)),ISNUMBER(SEARCH("intel",F140)),ISNUMBER(SEARCH("company",D140)),ISNUMBER(SEARCH("digger",D140))),"Research and intel",
OR(ISNUMBER(SEARCH("prompt",D140)),ISNUMBER(SEARCH("prompt",F140))),"Prompting help",
OR(ISNUMBER(SEARCH("role",D140)),ISNUMBER(SEARCH("scorecard",F140)),ISNUMBER(SEARCH("competenc",F140))),"Role and leadership advisory",
OR(ISNUMBER(SEARCH("meeting",F140)),ISNUMBER(SEARCH("notes",F140)),ISNUMBER(SEARCH("summary",F140))),"Meeting notes and summarization",
TRUE,"Other or fragmented"
)</f>
        <v>Other or fragmented</v>
      </c>
      <c r="O140" s="3" t="s">
        <v>23</v>
      </c>
      <c r="P140" s="3"/>
    </row>
    <row r="141" spans="1:16" x14ac:dyDescent="0.25">
      <c r="A141" t="s">
        <v>15</v>
      </c>
      <c r="B141" s="1">
        <v>45992</v>
      </c>
      <c r="C141" s="1">
        <v>46022</v>
      </c>
      <c r="E141" t="s">
        <v>24</v>
      </c>
      <c r="G141">
        <v>0</v>
      </c>
      <c r="J141">
        <v>0</v>
      </c>
      <c r="K141">
        <v>0</v>
      </c>
      <c r="L141" t="s">
        <v>230</v>
      </c>
      <c r="M141" s="10" t="s">
        <v>19</v>
      </c>
      <c r="N141" s="3" t="str" cm="1">
        <f t="array" ref="N141">_xlfn.IFS(
OR(ISNUMBER(SEARCH("email",D141)),ISNUMBER(SEARCH("email",F141)),ISNUMBER(SEARCH("polish",D141)),ISNUMBER(SEARCH("rewrite",F141)),ISNUMBER(SEARCH("copy",F141))),"Writing and comms",
OR(ISNUMBER(SEARCH("research",F141)),ISNUMBER(SEARCH("intel",F141)),ISNUMBER(SEARCH("company",D141)),ISNUMBER(SEARCH("digger",D141))),"Research and intel",
OR(ISNUMBER(SEARCH("prompt",D141)),ISNUMBER(SEARCH("prompt",F141))),"Prompting help",
OR(ISNUMBER(SEARCH("role",D141)),ISNUMBER(SEARCH("scorecard",F141)),ISNUMBER(SEARCH("competenc",F141))),"Role and leadership advisory",
OR(ISNUMBER(SEARCH("meeting",F141)),ISNUMBER(SEARCH("notes",F141)),ISNUMBER(SEARCH("summary",F141))),"Meeting notes and summarization",
TRUE,"Other or fragmented"
)</f>
        <v>Other or fragmented</v>
      </c>
      <c r="O141" s="3" t="s">
        <v>23</v>
      </c>
      <c r="P141" s="3"/>
    </row>
    <row r="142" spans="1:16" x14ac:dyDescent="0.25">
      <c r="A142" t="s">
        <v>15</v>
      </c>
      <c r="B142" s="1">
        <v>45992</v>
      </c>
      <c r="C142" s="1">
        <v>46022</v>
      </c>
      <c r="D142" t="s">
        <v>234</v>
      </c>
      <c r="E142" t="s">
        <v>24</v>
      </c>
      <c r="G142">
        <v>0</v>
      </c>
      <c r="J142">
        <v>0</v>
      </c>
      <c r="K142">
        <v>0</v>
      </c>
      <c r="L142" t="s">
        <v>230</v>
      </c>
      <c r="M142" s="9" t="s">
        <v>19</v>
      </c>
      <c r="N142" s="3" t="str" cm="1">
        <f t="array" ref="N142">_xlfn.IFS(
OR(ISNUMBER(SEARCH("email",D142)),ISNUMBER(SEARCH("email",F142)),ISNUMBER(SEARCH("polish",D142)),ISNUMBER(SEARCH("rewrite",F142)),ISNUMBER(SEARCH("copy",F142))),"Writing and comms",
OR(ISNUMBER(SEARCH("research",F142)),ISNUMBER(SEARCH("intel",F142)),ISNUMBER(SEARCH("company",D142)),ISNUMBER(SEARCH("digger",D142))),"Research and intel",
OR(ISNUMBER(SEARCH("prompt",D142)),ISNUMBER(SEARCH("prompt",F142))),"Prompting help",
OR(ISNUMBER(SEARCH("role",D142)),ISNUMBER(SEARCH("scorecard",F142)),ISNUMBER(SEARCH("competenc",F142))),"Role and leadership advisory",
OR(ISNUMBER(SEARCH("meeting",F142)),ISNUMBER(SEARCH("notes",F142)),ISNUMBER(SEARCH("summary",F142))),"Meeting notes and summarization",
TRUE,"Other or fragmented"
)</f>
        <v>Other or fragmented</v>
      </c>
      <c r="O142" s="3" t="s">
        <v>23</v>
      </c>
      <c r="P142" s="3"/>
    </row>
    <row r="143" spans="1:16" x14ac:dyDescent="0.25">
      <c r="A143" t="s">
        <v>15</v>
      </c>
      <c r="B143" s="1">
        <v>45992</v>
      </c>
      <c r="C143" s="1">
        <v>46022</v>
      </c>
      <c r="D143" t="s">
        <v>235</v>
      </c>
      <c r="E143" t="s">
        <v>17</v>
      </c>
      <c r="G143">
        <v>1</v>
      </c>
      <c r="H143" s="1">
        <v>46008</v>
      </c>
      <c r="I143" s="1">
        <v>46008</v>
      </c>
      <c r="J143">
        <v>1</v>
      </c>
      <c r="K143">
        <v>1</v>
      </c>
      <c r="L143" t="s">
        <v>236</v>
      </c>
      <c r="M143" s="10" t="s">
        <v>19</v>
      </c>
      <c r="N143" s="3" t="str" cm="1">
        <f t="array" ref="N143">_xlfn.IFS(
OR(ISNUMBER(SEARCH("email",D143)),ISNUMBER(SEARCH("email",F143)),ISNUMBER(SEARCH("polish",D143)),ISNUMBER(SEARCH("rewrite",F143)),ISNUMBER(SEARCH("copy",F143))),"Writing and comms",
OR(ISNUMBER(SEARCH("research",F143)),ISNUMBER(SEARCH("intel",F143)),ISNUMBER(SEARCH("company",D143)),ISNUMBER(SEARCH("digger",D143))),"Research and intel",
OR(ISNUMBER(SEARCH("prompt",D143)),ISNUMBER(SEARCH("prompt",F143))),"Prompting help",
OR(ISNUMBER(SEARCH("role",D143)),ISNUMBER(SEARCH("scorecard",F143)),ISNUMBER(SEARCH("competenc",F143))),"Role and leadership advisory",
OR(ISNUMBER(SEARCH("meeting",F143)),ISNUMBER(SEARCH("notes",F143)),ISNUMBER(SEARCH("summary",F143))),"Meeting notes and summarization",
TRUE,"Other or fragmented"
)</f>
        <v>Other or fragmented</v>
      </c>
      <c r="O143" s="3" t="s">
        <v>23</v>
      </c>
      <c r="P143" s="3"/>
    </row>
    <row r="144" spans="1:16" x14ac:dyDescent="0.25">
      <c r="A144" t="s">
        <v>15</v>
      </c>
      <c r="B144" s="1">
        <v>45992</v>
      </c>
      <c r="C144" s="1">
        <v>46022</v>
      </c>
      <c r="D144" t="s">
        <v>237</v>
      </c>
      <c r="E144" t="s">
        <v>17</v>
      </c>
      <c r="G144">
        <v>1</v>
      </c>
      <c r="H144" s="1">
        <v>45992</v>
      </c>
      <c r="I144" s="1">
        <v>45992</v>
      </c>
      <c r="J144">
        <v>1</v>
      </c>
      <c r="K144">
        <v>1</v>
      </c>
      <c r="L144" t="s">
        <v>236</v>
      </c>
      <c r="M144" s="9" t="s">
        <v>19</v>
      </c>
      <c r="N144" s="3" t="str" cm="1">
        <f t="array" ref="N144">_xlfn.IFS(
OR(ISNUMBER(SEARCH("email",D144)),ISNUMBER(SEARCH("email",F144)),ISNUMBER(SEARCH("polish",D144)),ISNUMBER(SEARCH("rewrite",F144)),ISNUMBER(SEARCH("copy",F144))),"Writing and comms",
OR(ISNUMBER(SEARCH("research",F144)),ISNUMBER(SEARCH("intel",F144)),ISNUMBER(SEARCH("company",D144)),ISNUMBER(SEARCH("digger",D144))),"Research and intel",
OR(ISNUMBER(SEARCH("prompt",D144)),ISNUMBER(SEARCH("prompt",F144))),"Prompting help",
OR(ISNUMBER(SEARCH("role",D144)),ISNUMBER(SEARCH("scorecard",F144)),ISNUMBER(SEARCH("competenc",F144))),"Role and leadership advisory",
OR(ISNUMBER(SEARCH("meeting",F144)),ISNUMBER(SEARCH("notes",F144)),ISNUMBER(SEARCH("summary",F144))),"Meeting notes and summarization",
TRUE,"Other or fragmented"
)</f>
        <v>Other or fragmented</v>
      </c>
      <c r="O144" s="3" t="s">
        <v>23</v>
      </c>
      <c r="P144" s="3"/>
    </row>
    <row r="145" spans="1:16" x14ac:dyDescent="0.25">
      <c r="A145" t="s">
        <v>15</v>
      </c>
      <c r="B145" s="1">
        <v>45992</v>
      </c>
      <c r="C145" s="1">
        <v>46022</v>
      </c>
      <c r="D145" t="s">
        <v>238</v>
      </c>
      <c r="E145" t="s">
        <v>17</v>
      </c>
      <c r="G145">
        <v>1</v>
      </c>
      <c r="H145" s="1">
        <v>45992</v>
      </c>
      <c r="I145" s="1">
        <v>45992</v>
      </c>
      <c r="J145">
        <v>2</v>
      </c>
      <c r="K145">
        <v>1</v>
      </c>
      <c r="L145" t="s">
        <v>236</v>
      </c>
      <c r="M145" s="10" t="s">
        <v>19</v>
      </c>
      <c r="N145" s="3" t="str" cm="1">
        <f t="array" ref="N145">_xlfn.IFS(
OR(ISNUMBER(SEARCH("email",D145)),ISNUMBER(SEARCH("email",F145)),ISNUMBER(SEARCH("polish",D145)),ISNUMBER(SEARCH("rewrite",F145)),ISNUMBER(SEARCH("copy",F145))),"Writing and comms",
OR(ISNUMBER(SEARCH("research",F145)),ISNUMBER(SEARCH("intel",F145)),ISNUMBER(SEARCH("company",D145)),ISNUMBER(SEARCH("digger",D145))),"Research and intel",
OR(ISNUMBER(SEARCH("prompt",D145)),ISNUMBER(SEARCH("prompt",F145))),"Prompting help",
OR(ISNUMBER(SEARCH("role",D145)),ISNUMBER(SEARCH("scorecard",F145)),ISNUMBER(SEARCH("competenc",F145))),"Role and leadership advisory",
OR(ISNUMBER(SEARCH("meeting",F145)),ISNUMBER(SEARCH("notes",F145)),ISNUMBER(SEARCH("summary",F145))),"Meeting notes and summarization",
TRUE,"Other or fragmented"
)</f>
        <v>Other or fragmented</v>
      </c>
      <c r="O145" s="3" t="s">
        <v>23</v>
      </c>
      <c r="P145" s="3"/>
    </row>
    <row r="146" spans="1:16" x14ac:dyDescent="0.25">
      <c r="A146" t="s">
        <v>15</v>
      </c>
      <c r="B146" s="1">
        <v>45992</v>
      </c>
      <c r="C146" s="1">
        <v>46022</v>
      </c>
      <c r="D146" t="s">
        <v>239</v>
      </c>
      <c r="E146" t="s">
        <v>17</v>
      </c>
      <c r="G146">
        <v>1</v>
      </c>
      <c r="H146" s="1">
        <v>46001</v>
      </c>
      <c r="I146" s="1">
        <v>46002</v>
      </c>
      <c r="J146">
        <v>5</v>
      </c>
      <c r="K146">
        <v>1</v>
      </c>
      <c r="L146" t="s">
        <v>236</v>
      </c>
      <c r="M146" s="9" t="s">
        <v>19</v>
      </c>
      <c r="N146" s="3" t="str" cm="1">
        <f t="array" ref="N146">_xlfn.IFS(
OR(ISNUMBER(SEARCH("email",D146)),ISNUMBER(SEARCH("email",F146)),ISNUMBER(SEARCH("polish",D146)),ISNUMBER(SEARCH("rewrite",F146)),ISNUMBER(SEARCH("copy",F146))),"Writing and comms",
OR(ISNUMBER(SEARCH("research",F146)),ISNUMBER(SEARCH("intel",F146)),ISNUMBER(SEARCH("company",D146)),ISNUMBER(SEARCH("digger",D146))),"Research and intel",
OR(ISNUMBER(SEARCH("prompt",D146)),ISNUMBER(SEARCH("prompt",F146))),"Prompting help",
OR(ISNUMBER(SEARCH("role",D146)),ISNUMBER(SEARCH("scorecard",F146)),ISNUMBER(SEARCH("competenc",F146))),"Role and leadership advisory",
OR(ISNUMBER(SEARCH("meeting",F146)),ISNUMBER(SEARCH("notes",F146)),ISNUMBER(SEARCH("summary",F146))),"Meeting notes and summarization",
TRUE,"Other or fragmented"
)</f>
        <v>Other or fragmented</v>
      </c>
      <c r="O146" s="3" t="s">
        <v>23</v>
      </c>
      <c r="P146" s="3"/>
    </row>
    <row r="147" spans="1:16" x14ac:dyDescent="0.25">
      <c r="A147" t="s">
        <v>15</v>
      </c>
      <c r="B147" s="1">
        <v>45992</v>
      </c>
      <c r="C147" s="1">
        <v>46022</v>
      </c>
      <c r="D147" t="s">
        <v>240</v>
      </c>
      <c r="E147" t="s">
        <v>17</v>
      </c>
      <c r="F147" t="s">
        <v>79</v>
      </c>
      <c r="G147">
        <v>1</v>
      </c>
      <c r="H147" s="1">
        <v>45993</v>
      </c>
      <c r="I147" s="1">
        <v>46008</v>
      </c>
      <c r="J147">
        <v>7</v>
      </c>
      <c r="K147">
        <v>1</v>
      </c>
      <c r="L147" t="s">
        <v>236</v>
      </c>
      <c r="M147" s="10" t="s">
        <v>19</v>
      </c>
      <c r="N147" s="3" t="str" cm="1">
        <f t="array" ref="N147">_xlfn.IFS(
OR(ISNUMBER(SEARCH("email",D147)),ISNUMBER(SEARCH("email",F147)),ISNUMBER(SEARCH("polish",D147)),ISNUMBER(SEARCH("rewrite",F147)),ISNUMBER(SEARCH("copy",F147))),"Writing and comms",
OR(ISNUMBER(SEARCH("research",F147)),ISNUMBER(SEARCH("intel",F147)),ISNUMBER(SEARCH("company",D147)),ISNUMBER(SEARCH("digger",D147))),"Research and intel",
OR(ISNUMBER(SEARCH("prompt",D147)),ISNUMBER(SEARCH("prompt",F147))),"Prompting help",
OR(ISNUMBER(SEARCH("role",D147)),ISNUMBER(SEARCH("scorecard",F147)),ISNUMBER(SEARCH("competenc",F147))),"Role and leadership advisory",
OR(ISNUMBER(SEARCH("meeting",F147)),ISNUMBER(SEARCH("notes",F147)),ISNUMBER(SEARCH("summary",F147))),"Meeting notes and summarization",
TRUE,"Other or fragmented"
)</f>
        <v>Other or fragmented</v>
      </c>
      <c r="O147" s="3" t="s">
        <v>23</v>
      </c>
      <c r="P147" s="3"/>
    </row>
    <row r="148" spans="1:16" x14ac:dyDescent="0.25">
      <c r="A148" t="s">
        <v>15</v>
      </c>
      <c r="B148" s="1">
        <v>45992</v>
      </c>
      <c r="C148" s="1">
        <v>46022</v>
      </c>
      <c r="D148" t="s">
        <v>241</v>
      </c>
      <c r="E148" t="s">
        <v>17</v>
      </c>
      <c r="G148">
        <v>1</v>
      </c>
      <c r="H148" s="1">
        <v>45993</v>
      </c>
      <c r="I148" s="1">
        <v>46002</v>
      </c>
      <c r="J148">
        <v>38</v>
      </c>
      <c r="K148">
        <v>1</v>
      </c>
      <c r="L148" t="s">
        <v>236</v>
      </c>
      <c r="M148" s="9" t="s">
        <v>19</v>
      </c>
      <c r="N148" s="3" t="str" cm="1">
        <f t="array" ref="N148">_xlfn.IFS(
OR(ISNUMBER(SEARCH("email",D148)),ISNUMBER(SEARCH("email",F148)),ISNUMBER(SEARCH("polish",D148)),ISNUMBER(SEARCH("rewrite",F148)),ISNUMBER(SEARCH("copy",F148))),"Writing and comms",
OR(ISNUMBER(SEARCH("research",F148)),ISNUMBER(SEARCH("intel",F148)),ISNUMBER(SEARCH("company",D148)),ISNUMBER(SEARCH("digger",D148))),"Research and intel",
OR(ISNUMBER(SEARCH("prompt",D148)),ISNUMBER(SEARCH("prompt",F148))),"Prompting help",
OR(ISNUMBER(SEARCH("role",D148)),ISNUMBER(SEARCH("scorecard",F148)),ISNUMBER(SEARCH("competenc",F148))),"Role and leadership advisory",
OR(ISNUMBER(SEARCH("meeting",F148)),ISNUMBER(SEARCH("notes",F148)),ISNUMBER(SEARCH("summary",F148))),"Meeting notes and summarization",
TRUE,"Other or fragmented"
)</f>
        <v>Other or fragmented</v>
      </c>
      <c r="O148" s="3" t="s">
        <v>23</v>
      </c>
      <c r="P148" s="3"/>
    </row>
    <row r="149" spans="1:16" x14ac:dyDescent="0.25">
      <c r="A149" t="s">
        <v>15</v>
      </c>
      <c r="B149" s="1">
        <v>45992</v>
      </c>
      <c r="C149" s="1">
        <v>46022</v>
      </c>
      <c r="D149" t="s">
        <v>242</v>
      </c>
      <c r="E149" t="s">
        <v>24</v>
      </c>
      <c r="G149">
        <v>0</v>
      </c>
      <c r="J149">
        <v>0</v>
      </c>
      <c r="K149">
        <v>0</v>
      </c>
      <c r="L149" t="s">
        <v>236</v>
      </c>
      <c r="M149" s="10" t="s">
        <v>19</v>
      </c>
      <c r="N149" s="3" t="str" cm="1">
        <f t="array" ref="N149">_xlfn.IFS(
OR(ISNUMBER(SEARCH("email",D149)),ISNUMBER(SEARCH("email",F149)),ISNUMBER(SEARCH("polish",D149)),ISNUMBER(SEARCH("rewrite",F149)),ISNUMBER(SEARCH("copy",F149))),"Writing and comms",
OR(ISNUMBER(SEARCH("research",F149)),ISNUMBER(SEARCH("intel",F149)),ISNUMBER(SEARCH("company",D149)),ISNUMBER(SEARCH("digger",D149))),"Research and intel",
OR(ISNUMBER(SEARCH("prompt",D149)),ISNUMBER(SEARCH("prompt",F149))),"Prompting help",
OR(ISNUMBER(SEARCH("role",D149)),ISNUMBER(SEARCH("scorecard",F149)),ISNUMBER(SEARCH("competenc",F149))),"Role and leadership advisory",
OR(ISNUMBER(SEARCH("meeting",F149)),ISNUMBER(SEARCH("notes",F149)),ISNUMBER(SEARCH("summary",F149))),"Meeting notes and summarization",
TRUE,"Other or fragmented"
)</f>
        <v>Other or fragmented</v>
      </c>
      <c r="O149" s="3" t="s">
        <v>23</v>
      </c>
      <c r="P149" s="3"/>
    </row>
    <row r="150" spans="1:16" x14ac:dyDescent="0.25">
      <c r="A150" t="s">
        <v>15</v>
      </c>
      <c r="B150" s="1">
        <v>45992</v>
      </c>
      <c r="C150" s="1">
        <v>46022</v>
      </c>
      <c r="E150" t="s">
        <v>24</v>
      </c>
      <c r="G150">
        <v>0</v>
      </c>
      <c r="J150">
        <v>0</v>
      </c>
      <c r="K150">
        <v>0</v>
      </c>
      <c r="L150" t="s">
        <v>236</v>
      </c>
      <c r="M150" s="9" t="s">
        <v>19</v>
      </c>
      <c r="N150" s="3" t="str" cm="1">
        <f t="array" ref="N150">_xlfn.IFS(
OR(ISNUMBER(SEARCH("email",D150)),ISNUMBER(SEARCH("email",F150)),ISNUMBER(SEARCH("polish",D150)),ISNUMBER(SEARCH("rewrite",F150)),ISNUMBER(SEARCH("copy",F150))),"Writing and comms",
OR(ISNUMBER(SEARCH("research",F150)),ISNUMBER(SEARCH("intel",F150)),ISNUMBER(SEARCH("company",D150)),ISNUMBER(SEARCH("digger",D150))),"Research and intel",
OR(ISNUMBER(SEARCH("prompt",D150)),ISNUMBER(SEARCH("prompt",F150))),"Prompting help",
OR(ISNUMBER(SEARCH("role",D150)),ISNUMBER(SEARCH("scorecard",F150)),ISNUMBER(SEARCH("competenc",F150))),"Role and leadership advisory",
OR(ISNUMBER(SEARCH("meeting",F150)),ISNUMBER(SEARCH("notes",F150)),ISNUMBER(SEARCH("summary",F150))),"Meeting notes and summarization",
TRUE,"Other or fragmented"
)</f>
        <v>Other or fragmented</v>
      </c>
      <c r="O150" s="3" t="s">
        <v>23</v>
      </c>
      <c r="P150" s="3"/>
    </row>
    <row r="151" spans="1:16" x14ac:dyDescent="0.25">
      <c r="A151" t="s">
        <v>15</v>
      </c>
      <c r="B151" s="1">
        <v>45992</v>
      </c>
      <c r="C151" s="1">
        <v>46022</v>
      </c>
      <c r="D151" t="s">
        <v>238</v>
      </c>
      <c r="E151" t="s">
        <v>24</v>
      </c>
      <c r="G151">
        <v>0</v>
      </c>
      <c r="J151">
        <v>0</v>
      </c>
      <c r="K151">
        <v>0</v>
      </c>
      <c r="L151" t="s">
        <v>236</v>
      </c>
      <c r="M151" s="10" t="s">
        <v>19</v>
      </c>
      <c r="N151" s="3" t="str" cm="1">
        <f t="array" ref="N151">_xlfn.IFS(
OR(ISNUMBER(SEARCH("email",D151)),ISNUMBER(SEARCH("email",F151)),ISNUMBER(SEARCH("polish",D151)),ISNUMBER(SEARCH("rewrite",F151)),ISNUMBER(SEARCH("copy",F151))),"Writing and comms",
OR(ISNUMBER(SEARCH("research",F151)),ISNUMBER(SEARCH("intel",F151)),ISNUMBER(SEARCH("company",D151)),ISNUMBER(SEARCH("digger",D151))),"Research and intel",
OR(ISNUMBER(SEARCH("prompt",D151)),ISNUMBER(SEARCH("prompt",F151))),"Prompting help",
OR(ISNUMBER(SEARCH("role",D151)),ISNUMBER(SEARCH("scorecard",F151)),ISNUMBER(SEARCH("competenc",F151))),"Role and leadership advisory",
OR(ISNUMBER(SEARCH("meeting",F151)),ISNUMBER(SEARCH("notes",F151)),ISNUMBER(SEARCH("summary",F151))),"Meeting notes and summarization",
TRUE,"Other or fragmented"
)</f>
        <v>Other or fragmented</v>
      </c>
      <c r="O151" s="3" t="s">
        <v>23</v>
      </c>
      <c r="P151" s="3"/>
    </row>
    <row r="152" spans="1:16" x14ac:dyDescent="0.25">
      <c r="A152" t="s">
        <v>15</v>
      </c>
      <c r="B152" s="1">
        <v>45992</v>
      </c>
      <c r="C152" s="1">
        <v>46022</v>
      </c>
      <c r="D152" t="s">
        <v>235</v>
      </c>
      <c r="E152" t="s">
        <v>24</v>
      </c>
      <c r="G152">
        <v>0</v>
      </c>
      <c r="J152">
        <v>0</v>
      </c>
      <c r="K152">
        <v>0</v>
      </c>
      <c r="L152" t="s">
        <v>236</v>
      </c>
      <c r="M152" s="9" t="s">
        <v>19</v>
      </c>
      <c r="N152" s="3" t="str" cm="1">
        <f t="array" ref="N152">_xlfn.IFS(
OR(ISNUMBER(SEARCH("email",D152)),ISNUMBER(SEARCH("email",F152)),ISNUMBER(SEARCH("polish",D152)),ISNUMBER(SEARCH("rewrite",F152)),ISNUMBER(SEARCH("copy",F152))),"Writing and comms",
OR(ISNUMBER(SEARCH("research",F152)),ISNUMBER(SEARCH("intel",F152)),ISNUMBER(SEARCH("company",D152)),ISNUMBER(SEARCH("digger",D152))),"Research and intel",
OR(ISNUMBER(SEARCH("prompt",D152)),ISNUMBER(SEARCH("prompt",F152))),"Prompting help",
OR(ISNUMBER(SEARCH("role",D152)),ISNUMBER(SEARCH("scorecard",F152)),ISNUMBER(SEARCH("competenc",F152))),"Role and leadership advisory",
OR(ISNUMBER(SEARCH("meeting",F152)),ISNUMBER(SEARCH("notes",F152)),ISNUMBER(SEARCH("summary",F152))),"Meeting notes and summarization",
TRUE,"Other or fragmented"
)</f>
        <v>Other or fragmented</v>
      </c>
      <c r="O152" s="3" t="s">
        <v>23</v>
      </c>
      <c r="P152" s="3"/>
    </row>
    <row r="153" spans="1:16" x14ac:dyDescent="0.25">
      <c r="A153" t="s">
        <v>15</v>
      </c>
      <c r="B153" s="1">
        <v>45992</v>
      </c>
      <c r="C153" s="1">
        <v>46022</v>
      </c>
      <c r="D153" t="s">
        <v>239</v>
      </c>
      <c r="E153" t="s">
        <v>24</v>
      </c>
      <c r="G153">
        <v>0</v>
      </c>
      <c r="J153">
        <v>0</v>
      </c>
      <c r="K153">
        <v>0</v>
      </c>
      <c r="L153" t="s">
        <v>236</v>
      </c>
      <c r="M153" s="10" t="s">
        <v>19</v>
      </c>
      <c r="N153" s="3" t="str" cm="1">
        <f t="array" ref="N153">_xlfn.IFS(
OR(ISNUMBER(SEARCH("email",D153)),ISNUMBER(SEARCH("email",F153)),ISNUMBER(SEARCH("polish",D153)),ISNUMBER(SEARCH("rewrite",F153)),ISNUMBER(SEARCH("copy",F153))),"Writing and comms",
OR(ISNUMBER(SEARCH("research",F153)),ISNUMBER(SEARCH("intel",F153)),ISNUMBER(SEARCH("company",D153)),ISNUMBER(SEARCH("digger",D153))),"Research and intel",
OR(ISNUMBER(SEARCH("prompt",D153)),ISNUMBER(SEARCH("prompt",F153))),"Prompting help",
OR(ISNUMBER(SEARCH("role",D153)),ISNUMBER(SEARCH("scorecard",F153)),ISNUMBER(SEARCH("competenc",F153))),"Role and leadership advisory",
OR(ISNUMBER(SEARCH("meeting",F153)),ISNUMBER(SEARCH("notes",F153)),ISNUMBER(SEARCH("summary",F153))),"Meeting notes and summarization",
TRUE,"Other or fragmented"
)</f>
        <v>Other or fragmented</v>
      </c>
      <c r="O153" s="3" t="s">
        <v>23</v>
      </c>
      <c r="P153" s="3"/>
    </row>
    <row r="154" spans="1:16" x14ac:dyDescent="0.25">
      <c r="A154" t="s">
        <v>15</v>
      </c>
      <c r="B154" s="1">
        <v>45992</v>
      </c>
      <c r="C154" s="1">
        <v>46022</v>
      </c>
      <c r="D154" t="s">
        <v>243</v>
      </c>
      <c r="E154" t="s">
        <v>17</v>
      </c>
      <c r="F154" t="s">
        <v>244</v>
      </c>
      <c r="G154">
        <v>1</v>
      </c>
      <c r="H154" s="1">
        <v>45992</v>
      </c>
      <c r="I154" s="1">
        <v>46010</v>
      </c>
      <c r="J154">
        <v>107</v>
      </c>
      <c r="K154">
        <v>18</v>
      </c>
      <c r="L154" t="s">
        <v>245</v>
      </c>
      <c r="M154" s="9" t="s">
        <v>19</v>
      </c>
      <c r="N154" s="3" t="str" cm="1">
        <f t="array" ref="N154">_xlfn.IFS(
OR(ISNUMBER(SEARCH("email",D154)),ISNUMBER(SEARCH("email",F154)),ISNUMBER(SEARCH("polish",D154)),ISNUMBER(SEARCH("rewrite",F154)),ISNUMBER(SEARCH("copy",F154))),"Writing and comms",
OR(ISNUMBER(SEARCH("research",F154)),ISNUMBER(SEARCH("intel",F154)),ISNUMBER(SEARCH("company",D154)),ISNUMBER(SEARCH("digger",D154))),"Research and intel",
OR(ISNUMBER(SEARCH("prompt",D154)),ISNUMBER(SEARCH("prompt",F154))),"Prompting help",
OR(ISNUMBER(SEARCH("role",D154)),ISNUMBER(SEARCH("scorecard",F154)),ISNUMBER(SEARCH("competenc",F154))),"Role and leadership advisory",
OR(ISNUMBER(SEARCH("meeting",F154)),ISNUMBER(SEARCH("notes",F154)),ISNUMBER(SEARCH("summary",F154))),"Meeting notes and summarization",
TRUE,"Other or fragmented"
)</f>
        <v>Prompting help</v>
      </c>
      <c r="O154" s="3" t="s">
        <v>23</v>
      </c>
      <c r="P154" s="3"/>
    </row>
    <row r="155" spans="1:16" x14ac:dyDescent="0.25">
      <c r="A155" t="s">
        <v>15</v>
      </c>
      <c r="B155" s="1">
        <v>45992</v>
      </c>
      <c r="C155" s="1">
        <v>46022</v>
      </c>
      <c r="D155" t="s">
        <v>246</v>
      </c>
      <c r="E155" t="s">
        <v>17</v>
      </c>
      <c r="F155" t="s">
        <v>247</v>
      </c>
      <c r="G155">
        <v>1</v>
      </c>
      <c r="H155" s="1">
        <v>46014</v>
      </c>
      <c r="I155" s="1">
        <v>46014</v>
      </c>
      <c r="J155">
        <v>3</v>
      </c>
      <c r="K155">
        <v>1</v>
      </c>
      <c r="L155" t="s">
        <v>245</v>
      </c>
      <c r="M155" s="10" t="s">
        <v>19</v>
      </c>
      <c r="N155" s="3" t="str" cm="1">
        <f t="array" ref="N155">_xlfn.IFS(
OR(ISNUMBER(SEARCH("email",D155)),ISNUMBER(SEARCH("email",F155)),ISNUMBER(SEARCH("polish",D155)),ISNUMBER(SEARCH("rewrite",F155)),ISNUMBER(SEARCH("copy",F155))),"Writing and comms",
OR(ISNUMBER(SEARCH("research",F155)),ISNUMBER(SEARCH("intel",F155)),ISNUMBER(SEARCH("company",D155)),ISNUMBER(SEARCH("digger",D155))),"Research and intel",
OR(ISNUMBER(SEARCH("prompt",D155)),ISNUMBER(SEARCH("prompt",F155))),"Prompting help",
OR(ISNUMBER(SEARCH("role",D155)),ISNUMBER(SEARCH("scorecard",F155)),ISNUMBER(SEARCH("competenc",F155))),"Role and leadership advisory",
OR(ISNUMBER(SEARCH("meeting",F155)),ISNUMBER(SEARCH("notes",F155)),ISNUMBER(SEARCH("summary",F155))),"Meeting notes and summarization",
TRUE,"Other or fragmented"
)</f>
        <v>Other or fragmented</v>
      </c>
      <c r="O155" s="3" t="s">
        <v>23</v>
      </c>
      <c r="P155" s="3"/>
    </row>
    <row r="156" spans="1:16" x14ac:dyDescent="0.25">
      <c r="A156" t="s">
        <v>15</v>
      </c>
      <c r="B156" s="1">
        <v>45992</v>
      </c>
      <c r="C156" s="1">
        <v>46022</v>
      </c>
      <c r="E156" t="s">
        <v>24</v>
      </c>
      <c r="G156">
        <v>0</v>
      </c>
      <c r="J156">
        <v>0</v>
      </c>
      <c r="K156">
        <v>0</v>
      </c>
      <c r="L156" t="s">
        <v>245</v>
      </c>
      <c r="M156" s="9" t="s">
        <v>19</v>
      </c>
      <c r="N156" s="3" t="str" cm="1">
        <f t="array" ref="N156">_xlfn.IFS(
OR(ISNUMBER(SEARCH("email",D156)),ISNUMBER(SEARCH("email",F156)),ISNUMBER(SEARCH("polish",D156)),ISNUMBER(SEARCH("rewrite",F156)),ISNUMBER(SEARCH("copy",F156))),"Writing and comms",
OR(ISNUMBER(SEARCH("research",F156)),ISNUMBER(SEARCH("intel",F156)),ISNUMBER(SEARCH("company",D156)),ISNUMBER(SEARCH("digger",D156))),"Research and intel",
OR(ISNUMBER(SEARCH("prompt",D156)),ISNUMBER(SEARCH("prompt",F156))),"Prompting help",
OR(ISNUMBER(SEARCH("role",D156)),ISNUMBER(SEARCH("scorecard",F156)),ISNUMBER(SEARCH("competenc",F156))),"Role and leadership advisory",
OR(ISNUMBER(SEARCH("meeting",F156)),ISNUMBER(SEARCH("notes",F156)),ISNUMBER(SEARCH("summary",F156))),"Meeting notes and summarization",
TRUE,"Other or fragmented"
)</f>
        <v>Other or fragmented</v>
      </c>
      <c r="O156" s="3" t="s">
        <v>23</v>
      </c>
      <c r="P156" s="3"/>
    </row>
    <row r="157" spans="1:16" x14ac:dyDescent="0.25">
      <c r="A157" t="s">
        <v>15</v>
      </c>
      <c r="B157" s="1">
        <v>45992</v>
      </c>
      <c r="C157" s="1">
        <v>46022</v>
      </c>
      <c r="D157" t="s">
        <v>248</v>
      </c>
      <c r="E157" t="s">
        <v>17</v>
      </c>
      <c r="F157" t="s">
        <v>249</v>
      </c>
      <c r="G157">
        <v>0</v>
      </c>
      <c r="J157">
        <v>0</v>
      </c>
      <c r="K157">
        <v>0</v>
      </c>
      <c r="L157" t="s">
        <v>245</v>
      </c>
      <c r="M157" s="10" t="s">
        <v>19</v>
      </c>
      <c r="N157" s="3" t="str" cm="1">
        <f t="array" ref="N157">_xlfn.IFS(
OR(ISNUMBER(SEARCH("email",D157)),ISNUMBER(SEARCH("email",F157)),ISNUMBER(SEARCH("polish",D157)),ISNUMBER(SEARCH("rewrite",F157)),ISNUMBER(SEARCH("copy",F157))),"Writing and comms",
OR(ISNUMBER(SEARCH("research",F157)),ISNUMBER(SEARCH("intel",F157)),ISNUMBER(SEARCH("company",D157)),ISNUMBER(SEARCH("digger",D157))),"Research and intel",
OR(ISNUMBER(SEARCH("prompt",D157)),ISNUMBER(SEARCH("prompt",F157))),"Prompting help",
OR(ISNUMBER(SEARCH("role",D157)),ISNUMBER(SEARCH("scorecard",F157)),ISNUMBER(SEARCH("competenc",F157))),"Role and leadership advisory",
OR(ISNUMBER(SEARCH("meeting",F157)),ISNUMBER(SEARCH("notes",F157)),ISNUMBER(SEARCH("summary",F157))),"Meeting notes and summarization",
TRUE,"Other or fragmented"
)</f>
        <v>Other or fragmented</v>
      </c>
      <c r="O157" s="3" t="s">
        <v>23</v>
      </c>
      <c r="P157" s="3"/>
    </row>
    <row r="158" spans="1:16" x14ac:dyDescent="0.25">
      <c r="A158" t="s">
        <v>15</v>
      </c>
      <c r="B158" s="1">
        <v>45992</v>
      </c>
      <c r="C158" s="1">
        <v>46022</v>
      </c>
      <c r="D158" t="s">
        <v>250</v>
      </c>
      <c r="E158" t="s">
        <v>17</v>
      </c>
      <c r="G158">
        <v>0</v>
      </c>
      <c r="J158">
        <v>0</v>
      </c>
      <c r="K158">
        <v>0</v>
      </c>
      <c r="L158" t="s">
        <v>245</v>
      </c>
      <c r="M158" s="9" t="s">
        <v>19</v>
      </c>
      <c r="N158" s="3" t="str" cm="1">
        <f t="array" ref="N158">_xlfn.IFS(
OR(ISNUMBER(SEARCH("email",D158)),ISNUMBER(SEARCH("email",F158)),ISNUMBER(SEARCH("polish",D158)),ISNUMBER(SEARCH("rewrite",F158)),ISNUMBER(SEARCH("copy",F158))),"Writing and comms",
OR(ISNUMBER(SEARCH("research",F158)),ISNUMBER(SEARCH("intel",F158)),ISNUMBER(SEARCH("company",D158)),ISNUMBER(SEARCH("digger",D158))),"Research and intel",
OR(ISNUMBER(SEARCH("prompt",D158)),ISNUMBER(SEARCH("prompt",F158))),"Prompting help",
OR(ISNUMBER(SEARCH("role",D158)),ISNUMBER(SEARCH("scorecard",F158)),ISNUMBER(SEARCH("competenc",F158))),"Role and leadership advisory",
OR(ISNUMBER(SEARCH("meeting",F158)),ISNUMBER(SEARCH("notes",F158)),ISNUMBER(SEARCH("summary",F158))),"Meeting notes and summarization",
TRUE,"Other or fragmented"
)</f>
        <v>Other or fragmented</v>
      </c>
      <c r="O158" s="3" t="s">
        <v>23</v>
      </c>
      <c r="P158" s="3"/>
    </row>
    <row r="159" spans="1:16" x14ac:dyDescent="0.25">
      <c r="A159" t="s">
        <v>15</v>
      </c>
      <c r="B159" s="1">
        <v>45992</v>
      </c>
      <c r="C159" s="1">
        <v>46022</v>
      </c>
      <c r="E159" t="s">
        <v>24</v>
      </c>
      <c r="G159">
        <v>0</v>
      </c>
      <c r="J159">
        <v>0</v>
      </c>
      <c r="K159">
        <v>0</v>
      </c>
      <c r="L159" t="s">
        <v>251</v>
      </c>
      <c r="M159" s="10" t="s">
        <v>19</v>
      </c>
      <c r="N159" s="3" t="str" cm="1">
        <f t="array" ref="N159">_xlfn.IFS(
OR(ISNUMBER(SEARCH("email",D159)),ISNUMBER(SEARCH("email",F159)),ISNUMBER(SEARCH("polish",D159)),ISNUMBER(SEARCH("rewrite",F159)),ISNUMBER(SEARCH("copy",F159))),"Writing and comms",
OR(ISNUMBER(SEARCH("research",F159)),ISNUMBER(SEARCH("intel",F159)),ISNUMBER(SEARCH("company",D159)),ISNUMBER(SEARCH("digger",D159))),"Research and intel",
OR(ISNUMBER(SEARCH("prompt",D159)),ISNUMBER(SEARCH("prompt",F159))),"Prompting help",
OR(ISNUMBER(SEARCH("role",D159)),ISNUMBER(SEARCH("scorecard",F159)),ISNUMBER(SEARCH("competenc",F159))),"Role and leadership advisory",
OR(ISNUMBER(SEARCH("meeting",F159)),ISNUMBER(SEARCH("notes",F159)),ISNUMBER(SEARCH("summary",F159))),"Meeting notes and summarization",
TRUE,"Other or fragmented"
)</f>
        <v>Other or fragmented</v>
      </c>
      <c r="O159" s="3" t="s">
        <v>23</v>
      </c>
      <c r="P159" s="3"/>
    </row>
    <row r="160" spans="1:16" x14ac:dyDescent="0.25">
      <c r="A160" t="s">
        <v>15</v>
      </c>
      <c r="B160" s="1">
        <v>45992</v>
      </c>
      <c r="C160" s="1">
        <v>46022</v>
      </c>
      <c r="E160" t="s">
        <v>24</v>
      </c>
      <c r="G160">
        <v>0</v>
      </c>
      <c r="J160">
        <v>0</v>
      </c>
      <c r="K160">
        <v>0</v>
      </c>
      <c r="L160" t="s">
        <v>252</v>
      </c>
      <c r="M160" s="9" t="s">
        <v>19</v>
      </c>
      <c r="N160" s="3" t="str" cm="1">
        <f t="array" ref="N160">_xlfn.IFS(
OR(ISNUMBER(SEARCH("email",D160)),ISNUMBER(SEARCH("email",F160)),ISNUMBER(SEARCH("polish",D160)),ISNUMBER(SEARCH("rewrite",F160)),ISNUMBER(SEARCH("copy",F160))),"Writing and comms",
OR(ISNUMBER(SEARCH("research",F160)),ISNUMBER(SEARCH("intel",F160)),ISNUMBER(SEARCH("company",D160)),ISNUMBER(SEARCH("digger",D160))),"Research and intel",
OR(ISNUMBER(SEARCH("prompt",D160)),ISNUMBER(SEARCH("prompt",F160))),"Prompting help",
OR(ISNUMBER(SEARCH("role",D160)),ISNUMBER(SEARCH("scorecard",F160)),ISNUMBER(SEARCH("competenc",F160))),"Role and leadership advisory",
OR(ISNUMBER(SEARCH("meeting",F160)),ISNUMBER(SEARCH("notes",F160)),ISNUMBER(SEARCH("summary",F160))),"Meeting notes and summarization",
TRUE,"Other or fragmented"
)</f>
        <v>Other or fragmented</v>
      </c>
      <c r="O160" s="3" t="s">
        <v>23</v>
      </c>
      <c r="P160" s="3"/>
    </row>
    <row r="161" spans="1:16" x14ac:dyDescent="0.25">
      <c r="A161" t="s">
        <v>15</v>
      </c>
      <c r="B161" s="1">
        <v>45992</v>
      </c>
      <c r="C161" s="1">
        <v>46022</v>
      </c>
      <c r="E161" t="s">
        <v>24</v>
      </c>
      <c r="G161">
        <v>0</v>
      </c>
      <c r="J161">
        <v>0</v>
      </c>
      <c r="K161">
        <v>0</v>
      </c>
      <c r="L161" t="s">
        <v>253</v>
      </c>
      <c r="M161" s="10" t="s">
        <v>19</v>
      </c>
      <c r="N161" s="3" t="str" cm="1">
        <f t="array" ref="N161">_xlfn.IFS(
OR(ISNUMBER(SEARCH("email",D161)),ISNUMBER(SEARCH("email",F161)),ISNUMBER(SEARCH("polish",D161)),ISNUMBER(SEARCH("rewrite",F161)),ISNUMBER(SEARCH("copy",F161))),"Writing and comms",
OR(ISNUMBER(SEARCH("research",F161)),ISNUMBER(SEARCH("intel",F161)),ISNUMBER(SEARCH("company",D161)),ISNUMBER(SEARCH("digger",D161))),"Research and intel",
OR(ISNUMBER(SEARCH("prompt",D161)),ISNUMBER(SEARCH("prompt",F161))),"Prompting help",
OR(ISNUMBER(SEARCH("role",D161)),ISNUMBER(SEARCH("scorecard",F161)),ISNUMBER(SEARCH("competenc",F161))),"Role and leadership advisory",
OR(ISNUMBER(SEARCH("meeting",F161)),ISNUMBER(SEARCH("notes",F161)),ISNUMBER(SEARCH("summary",F161))),"Meeting notes and summarization",
TRUE,"Other or fragmented"
)</f>
        <v>Other or fragmented</v>
      </c>
      <c r="O161" s="3" t="s">
        <v>23</v>
      </c>
      <c r="P161" s="3"/>
    </row>
    <row r="162" spans="1:16" x14ac:dyDescent="0.25">
      <c r="A162" t="s">
        <v>15</v>
      </c>
      <c r="B162" s="1">
        <v>45992</v>
      </c>
      <c r="C162" s="1">
        <v>46022</v>
      </c>
      <c r="E162" t="s">
        <v>24</v>
      </c>
      <c r="G162">
        <v>0</v>
      </c>
      <c r="J162">
        <v>0</v>
      </c>
      <c r="K162">
        <v>0</v>
      </c>
      <c r="L162" t="s">
        <v>254</v>
      </c>
      <c r="M162" s="9" t="s">
        <v>19</v>
      </c>
      <c r="N162" s="3" t="str" cm="1">
        <f t="array" ref="N162">_xlfn.IFS(
OR(ISNUMBER(SEARCH("email",D162)),ISNUMBER(SEARCH("email",F162)),ISNUMBER(SEARCH("polish",D162)),ISNUMBER(SEARCH("rewrite",F162)),ISNUMBER(SEARCH("copy",F162))),"Writing and comms",
OR(ISNUMBER(SEARCH("research",F162)),ISNUMBER(SEARCH("intel",F162)),ISNUMBER(SEARCH("company",D162)),ISNUMBER(SEARCH("digger",D162))),"Research and intel",
OR(ISNUMBER(SEARCH("prompt",D162)),ISNUMBER(SEARCH("prompt",F162))),"Prompting help",
OR(ISNUMBER(SEARCH("role",D162)),ISNUMBER(SEARCH("scorecard",F162)),ISNUMBER(SEARCH("competenc",F162))),"Role and leadership advisory",
OR(ISNUMBER(SEARCH("meeting",F162)),ISNUMBER(SEARCH("notes",F162)),ISNUMBER(SEARCH("summary",F162))),"Meeting notes and summarization",
TRUE,"Other or fragmented"
)</f>
        <v>Other or fragmented</v>
      </c>
      <c r="O162" s="3" t="s">
        <v>23</v>
      </c>
      <c r="P162" s="3"/>
    </row>
    <row r="163" spans="1:16" x14ac:dyDescent="0.25">
      <c r="A163" t="s">
        <v>15</v>
      </c>
      <c r="B163" s="1">
        <v>45992</v>
      </c>
      <c r="C163" s="1">
        <v>46022</v>
      </c>
      <c r="E163" t="s">
        <v>24</v>
      </c>
      <c r="G163">
        <v>1</v>
      </c>
      <c r="H163" s="1">
        <v>46007</v>
      </c>
      <c r="I163" s="1">
        <v>46007</v>
      </c>
      <c r="J163">
        <v>1</v>
      </c>
      <c r="K163">
        <v>1</v>
      </c>
      <c r="L163" t="s">
        <v>255</v>
      </c>
      <c r="M163" s="10" t="s">
        <v>19</v>
      </c>
      <c r="N163" s="3" t="str" cm="1">
        <f t="array" ref="N163">_xlfn.IFS(
OR(ISNUMBER(SEARCH("email",D163)),ISNUMBER(SEARCH("email",F163)),ISNUMBER(SEARCH("polish",D163)),ISNUMBER(SEARCH("rewrite",F163)),ISNUMBER(SEARCH("copy",F163))),"Writing and comms",
OR(ISNUMBER(SEARCH("research",F163)),ISNUMBER(SEARCH("intel",F163)),ISNUMBER(SEARCH("company",D163)),ISNUMBER(SEARCH("digger",D163))),"Research and intel",
OR(ISNUMBER(SEARCH("prompt",D163)),ISNUMBER(SEARCH("prompt",F163))),"Prompting help",
OR(ISNUMBER(SEARCH("role",D163)),ISNUMBER(SEARCH("scorecard",F163)),ISNUMBER(SEARCH("competenc",F163))),"Role and leadership advisory",
OR(ISNUMBER(SEARCH("meeting",F163)),ISNUMBER(SEARCH("notes",F163)),ISNUMBER(SEARCH("summary",F163))),"Meeting notes and summarization",
TRUE,"Other or fragmented"
)</f>
        <v>Other or fragmented</v>
      </c>
      <c r="O163" s="3" t="s">
        <v>23</v>
      </c>
      <c r="P163" s="3"/>
    </row>
    <row r="164" spans="1:16" x14ac:dyDescent="0.25">
      <c r="A164" t="s">
        <v>15</v>
      </c>
      <c r="B164" s="1">
        <v>45992</v>
      </c>
      <c r="C164" s="1">
        <v>46022</v>
      </c>
      <c r="D164" t="s">
        <v>256</v>
      </c>
      <c r="E164" t="s">
        <v>24</v>
      </c>
      <c r="F164" t="s">
        <v>257</v>
      </c>
      <c r="G164">
        <v>1</v>
      </c>
      <c r="H164" s="1">
        <v>46007</v>
      </c>
      <c r="I164" s="1">
        <v>46009</v>
      </c>
      <c r="J164">
        <v>12</v>
      </c>
      <c r="K164">
        <v>1</v>
      </c>
      <c r="L164" t="s">
        <v>255</v>
      </c>
      <c r="M164" s="9" t="s">
        <v>19</v>
      </c>
      <c r="N164" s="3" t="str" cm="1">
        <f t="array" ref="N164">_xlfn.IFS(
OR(ISNUMBER(SEARCH("email",D164)),ISNUMBER(SEARCH("email",F164)),ISNUMBER(SEARCH("polish",D164)),ISNUMBER(SEARCH("rewrite",F164)),ISNUMBER(SEARCH("copy",F164))),"Writing and comms",
OR(ISNUMBER(SEARCH("research",F164)),ISNUMBER(SEARCH("intel",F164)),ISNUMBER(SEARCH("company",D164)),ISNUMBER(SEARCH("digger",D164))),"Research and intel",
OR(ISNUMBER(SEARCH("prompt",D164)),ISNUMBER(SEARCH("prompt",F164))),"Prompting help",
OR(ISNUMBER(SEARCH("role",D164)),ISNUMBER(SEARCH("scorecard",F164)),ISNUMBER(SEARCH("competenc",F164))),"Role and leadership advisory",
OR(ISNUMBER(SEARCH("meeting",F164)),ISNUMBER(SEARCH("notes",F164)),ISNUMBER(SEARCH("summary",F164))),"Meeting notes and summarization",
TRUE,"Other or fragmented"
)</f>
        <v>Other or fragmented</v>
      </c>
      <c r="O164" s="3" t="s">
        <v>23</v>
      </c>
      <c r="P164" s="3"/>
    </row>
    <row r="165" spans="1:16" x14ac:dyDescent="0.25">
      <c r="A165" t="s">
        <v>15</v>
      </c>
      <c r="B165" s="1">
        <v>45992</v>
      </c>
      <c r="C165" s="1">
        <v>46022</v>
      </c>
      <c r="E165" t="s">
        <v>24</v>
      </c>
      <c r="G165">
        <v>0</v>
      </c>
      <c r="J165">
        <v>0</v>
      </c>
      <c r="K165">
        <v>0</v>
      </c>
      <c r="L165" t="s">
        <v>255</v>
      </c>
      <c r="M165" s="10" t="s">
        <v>19</v>
      </c>
      <c r="N165" s="3" t="str" cm="1">
        <f t="array" ref="N165">_xlfn.IFS(
OR(ISNUMBER(SEARCH("email",D165)),ISNUMBER(SEARCH("email",F165)),ISNUMBER(SEARCH("polish",D165)),ISNUMBER(SEARCH("rewrite",F165)),ISNUMBER(SEARCH("copy",F165))),"Writing and comms",
OR(ISNUMBER(SEARCH("research",F165)),ISNUMBER(SEARCH("intel",F165)),ISNUMBER(SEARCH("company",D165)),ISNUMBER(SEARCH("digger",D165))),"Research and intel",
OR(ISNUMBER(SEARCH("prompt",D165)),ISNUMBER(SEARCH("prompt",F165))),"Prompting help",
OR(ISNUMBER(SEARCH("role",D165)),ISNUMBER(SEARCH("scorecard",F165)),ISNUMBER(SEARCH("competenc",F165))),"Role and leadership advisory",
OR(ISNUMBER(SEARCH("meeting",F165)),ISNUMBER(SEARCH("notes",F165)),ISNUMBER(SEARCH("summary",F165))),"Meeting notes and summarization",
TRUE,"Other or fragmented"
)</f>
        <v>Other or fragmented</v>
      </c>
      <c r="O165" s="3" t="s">
        <v>23</v>
      </c>
      <c r="P165" s="3"/>
    </row>
    <row r="166" spans="1:16" x14ac:dyDescent="0.25">
      <c r="A166" t="s">
        <v>15</v>
      </c>
      <c r="B166" s="1">
        <v>45992</v>
      </c>
      <c r="C166" s="1">
        <v>46022</v>
      </c>
      <c r="E166" t="s">
        <v>24</v>
      </c>
      <c r="G166">
        <v>0</v>
      </c>
      <c r="J166">
        <v>0</v>
      </c>
      <c r="K166">
        <v>0</v>
      </c>
      <c r="L166" t="s">
        <v>255</v>
      </c>
      <c r="M166" s="9" t="s">
        <v>19</v>
      </c>
      <c r="N166" s="3" t="str" cm="1">
        <f t="array" ref="N166">_xlfn.IFS(
OR(ISNUMBER(SEARCH("email",D166)),ISNUMBER(SEARCH("email",F166)),ISNUMBER(SEARCH("polish",D166)),ISNUMBER(SEARCH("rewrite",F166)),ISNUMBER(SEARCH("copy",F166))),"Writing and comms",
OR(ISNUMBER(SEARCH("research",F166)),ISNUMBER(SEARCH("intel",F166)),ISNUMBER(SEARCH("company",D166)),ISNUMBER(SEARCH("digger",D166))),"Research and intel",
OR(ISNUMBER(SEARCH("prompt",D166)),ISNUMBER(SEARCH("prompt",F166))),"Prompting help",
OR(ISNUMBER(SEARCH("role",D166)),ISNUMBER(SEARCH("scorecard",F166)),ISNUMBER(SEARCH("competenc",F166))),"Role and leadership advisory",
OR(ISNUMBER(SEARCH("meeting",F166)),ISNUMBER(SEARCH("notes",F166)),ISNUMBER(SEARCH("summary",F166))),"Meeting notes and summarization",
TRUE,"Other or fragmented"
)</f>
        <v>Other or fragmented</v>
      </c>
      <c r="O166" s="3" t="s">
        <v>23</v>
      </c>
      <c r="P166" s="3"/>
    </row>
    <row r="167" spans="1:16" x14ac:dyDescent="0.25">
      <c r="A167" t="s">
        <v>15</v>
      </c>
      <c r="B167" s="1">
        <v>45992</v>
      </c>
      <c r="C167" s="1">
        <v>46022</v>
      </c>
      <c r="E167" t="s">
        <v>24</v>
      </c>
      <c r="G167">
        <v>0</v>
      </c>
      <c r="J167">
        <v>0</v>
      </c>
      <c r="K167">
        <v>0</v>
      </c>
      <c r="L167" t="s">
        <v>255</v>
      </c>
      <c r="M167" s="10" t="s">
        <v>19</v>
      </c>
      <c r="N167" s="3" t="str" cm="1">
        <f t="array" ref="N167">_xlfn.IFS(
OR(ISNUMBER(SEARCH("email",D167)),ISNUMBER(SEARCH("email",F167)),ISNUMBER(SEARCH("polish",D167)),ISNUMBER(SEARCH("rewrite",F167)),ISNUMBER(SEARCH("copy",F167))),"Writing and comms",
OR(ISNUMBER(SEARCH("research",F167)),ISNUMBER(SEARCH("intel",F167)),ISNUMBER(SEARCH("company",D167)),ISNUMBER(SEARCH("digger",D167))),"Research and intel",
OR(ISNUMBER(SEARCH("prompt",D167)),ISNUMBER(SEARCH("prompt",F167))),"Prompting help",
OR(ISNUMBER(SEARCH("role",D167)),ISNUMBER(SEARCH("scorecard",F167)),ISNUMBER(SEARCH("competenc",F167))),"Role and leadership advisory",
OR(ISNUMBER(SEARCH("meeting",F167)),ISNUMBER(SEARCH("notes",F167)),ISNUMBER(SEARCH("summary",F167))),"Meeting notes and summarization",
TRUE,"Other or fragmented"
)</f>
        <v>Other or fragmented</v>
      </c>
      <c r="O167" s="3" t="s">
        <v>23</v>
      </c>
      <c r="P167" s="3"/>
    </row>
    <row r="168" spans="1:16" x14ac:dyDescent="0.25">
      <c r="A168" t="s">
        <v>15</v>
      </c>
      <c r="B168" s="1">
        <v>45992</v>
      </c>
      <c r="C168" s="1">
        <v>46022</v>
      </c>
      <c r="D168" t="s">
        <v>258</v>
      </c>
      <c r="E168" t="s">
        <v>24</v>
      </c>
      <c r="F168" t="s">
        <v>259</v>
      </c>
      <c r="G168">
        <v>1</v>
      </c>
      <c r="H168" s="1">
        <v>45995</v>
      </c>
      <c r="I168" s="1">
        <v>45995</v>
      </c>
      <c r="J168">
        <v>3</v>
      </c>
      <c r="K168">
        <v>1</v>
      </c>
      <c r="L168" t="s">
        <v>260</v>
      </c>
      <c r="M168" s="9" t="s">
        <v>19</v>
      </c>
      <c r="N168" s="3" t="str" cm="1">
        <f t="array" ref="N168">_xlfn.IFS(
OR(ISNUMBER(SEARCH("email",D168)),ISNUMBER(SEARCH("email",F168)),ISNUMBER(SEARCH("polish",D168)),ISNUMBER(SEARCH("rewrite",F168)),ISNUMBER(SEARCH("copy",F168))),"Writing and comms",
OR(ISNUMBER(SEARCH("research",F168)),ISNUMBER(SEARCH("intel",F168)),ISNUMBER(SEARCH("company",D168)),ISNUMBER(SEARCH("digger",D168))),"Research and intel",
OR(ISNUMBER(SEARCH("prompt",D168)),ISNUMBER(SEARCH("prompt",F168))),"Prompting help",
OR(ISNUMBER(SEARCH("role",D168)),ISNUMBER(SEARCH("scorecard",F168)),ISNUMBER(SEARCH("competenc",F168))),"Role and leadership advisory",
OR(ISNUMBER(SEARCH("meeting",F168)),ISNUMBER(SEARCH("notes",F168)),ISNUMBER(SEARCH("summary",F168))),"Meeting notes and summarization",
TRUE,"Other or fragmented"
)</f>
        <v>Other or fragmented</v>
      </c>
      <c r="O168" s="3" t="s">
        <v>23</v>
      </c>
      <c r="P168" s="3"/>
    </row>
    <row r="169" spans="1:16" x14ac:dyDescent="0.25">
      <c r="A169" t="s">
        <v>15</v>
      </c>
      <c r="B169" s="1">
        <v>45992</v>
      </c>
      <c r="C169" s="1">
        <v>46022</v>
      </c>
      <c r="E169" t="s">
        <v>24</v>
      </c>
      <c r="G169">
        <v>0</v>
      </c>
      <c r="J169">
        <v>0</v>
      </c>
      <c r="K169">
        <v>0</v>
      </c>
      <c r="L169" t="s">
        <v>260</v>
      </c>
      <c r="M169" s="10" t="s">
        <v>19</v>
      </c>
      <c r="N169" s="3" t="str" cm="1">
        <f t="array" ref="N169">_xlfn.IFS(
OR(ISNUMBER(SEARCH("email",D169)),ISNUMBER(SEARCH("email",F169)),ISNUMBER(SEARCH("polish",D169)),ISNUMBER(SEARCH("rewrite",F169)),ISNUMBER(SEARCH("copy",F169))),"Writing and comms",
OR(ISNUMBER(SEARCH("research",F169)),ISNUMBER(SEARCH("intel",F169)),ISNUMBER(SEARCH("company",D169)),ISNUMBER(SEARCH("digger",D169))),"Research and intel",
OR(ISNUMBER(SEARCH("prompt",D169)),ISNUMBER(SEARCH("prompt",F169))),"Prompting help",
OR(ISNUMBER(SEARCH("role",D169)),ISNUMBER(SEARCH("scorecard",F169)),ISNUMBER(SEARCH("competenc",F169))),"Role and leadership advisory",
OR(ISNUMBER(SEARCH("meeting",F169)),ISNUMBER(SEARCH("notes",F169)),ISNUMBER(SEARCH("summary",F169))),"Meeting notes and summarization",
TRUE,"Other or fragmented"
)</f>
        <v>Other or fragmented</v>
      </c>
      <c r="O169" s="3" t="s">
        <v>23</v>
      </c>
      <c r="P169" s="3"/>
    </row>
    <row r="170" spans="1:16" x14ac:dyDescent="0.25">
      <c r="A170" t="s">
        <v>15</v>
      </c>
      <c r="B170" s="1">
        <v>45992</v>
      </c>
      <c r="C170" s="1">
        <v>46022</v>
      </c>
      <c r="D170" t="s">
        <v>68</v>
      </c>
      <c r="E170" t="s">
        <v>17</v>
      </c>
      <c r="F170" t="s">
        <v>261</v>
      </c>
      <c r="G170">
        <v>1</v>
      </c>
      <c r="H170" s="1">
        <v>46001</v>
      </c>
      <c r="I170" s="1">
        <v>46001</v>
      </c>
      <c r="J170">
        <v>2</v>
      </c>
      <c r="K170">
        <v>1</v>
      </c>
      <c r="L170" t="s">
        <v>262</v>
      </c>
      <c r="M170" s="9" t="s">
        <v>19</v>
      </c>
      <c r="N170" s="3" t="str" cm="1">
        <f t="array" ref="N170">_xlfn.IFS(
OR(ISNUMBER(SEARCH("email",D170)),ISNUMBER(SEARCH("email",F170)),ISNUMBER(SEARCH("polish",D170)),ISNUMBER(SEARCH("rewrite",F170)),ISNUMBER(SEARCH("copy",F170))),"Writing and comms",
OR(ISNUMBER(SEARCH("research",F170)),ISNUMBER(SEARCH("intel",F170)),ISNUMBER(SEARCH("company",D170)),ISNUMBER(SEARCH("digger",D170))),"Research and intel",
OR(ISNUMBER(SEARCH("prompt",D170)),ISNUMBER(SEARCH("prompt",F170))),"Prompting help",
OR(ISNUMBER(SEARCH("role",D170)),ISNUMBER(SEARCH("scorecard",F170)),ISNUMBER(SEARCH("competenc",F170))),"Role and leadership advisory",
OR(ISNUMBER(SEARCH("meeting",F170)),ISNUMBER(SEARCH("notes",F170)),ISNUMBER(SEARCH("summary",F170))),"Meeting notes and summarization",
TRUE,"Other or fragmented"
)</f>
        <v>Meeting notes and summarization</v>
      </c>
      <c r="O170" s="3" t="s">
        <v>23</v>
      </c>
      <c r="P170" s="3"/>
    </row>
    <row r="171" spans="1:16" x14ac:dyDescent="0.25">
      <c r="A171" t="s">
        <v>15</v>
      </c>
      <c r="B171" s="1">
        <v>45992</v>
      </c>
      <c r="C171" s="1">
        <v>46022</v>
      </c>
      <c r="D171" t="s">
        <v>263</v>
      </c>
      <c r="E171" t="s">
        <v>17</v>
      </c>
      <c r="F171" t="s">
        <v>264</v>
      </c>
      <c r="G171">
        <v>1</v>
      </c>
      <c r="H171" s="1">
        <v>45992</v>
      </c>
      <c r="I171" s="1">
        <v>46008</v>
      </c>
      <c r="J171">
        <v>18</v>
      </c>
      <c r="K171">
        <v>1</v>
      </c>
      <c r="L171" t="s">
        <v>265</v>
      </c>
      <c r="M171" s="10" t="s">
        <v>19</v>
      </c>
      <c r="N171" s="3" t="str" cm="1">
        <f t="array" ref="N171">_xlfn.IFS(
OR(ISNUMBER(SEARCH("email",D171)),ISNUMBER(SEARCH("email",F171)),ISNUMBER(SEARCH("polish",D171)),ISNUMBER(SEARCH("rewrite",F171)),ISNUMBER(SEARCH("copy",F171))),"Writing and comms",
OR(ISNUMBER(SEARCH("research",F171)),ISNUMBER(SEARCH("intel",F171)),ISNUMBER(SEARCH("company",D171)),ISNUMBER(SEARCH("digger",D171))),"Research and intel",
OR(ISNUMBER(SEARCH("prompt",D171)),ISNUMBER(SEARCH("prompt",F171))),"Prompting help",
OR(ISNUMBER(SEARCH("role",D171)),ISNUMBER(SEARCH("scorecard",F171)),ISNUMBER(SEARCH("competenc",F171))),"Role and leadership advisory",
OR(ISNUMBER(SEARCH("meeting",F171)),ISNUMBER(SEARCH("notes",F171)),ISNUMBER(SEARCH("summary",F171))),"Meeting notes and summarization",
TRUE,"Other or fragmented"
)</f>
        <v>Writing and comms</v>
      </c>
      <c r="O171" s="3" t="s">
        <v>23</v>
      </c>
      <c r="P171" s="3"/>
    </row>
    <row r="172" spans="1:16" x14ac:dyDescent="0.25">
      <c r="A172" t="s">
        <v>15</v>
      </c>
      <c r="B172" s="1">
        <v>45992</v>
      </c>
      <c r="C172" s="1">
        <v>46022</v>
      </c>
      <c r="E172" t="s">
        <v>24</v>
      </c>
      <c r="G172">
        <v>0</v>
      </c>
      <c r="J172">
        <v>0</v>
      </c>
      <c r="K172">
        <v>0</v>
      </c>
      <c r="L172" t="s">
        <v>266</v>
      </c>
      <c r="M172" s="9" t="s">
        <v>19</v>
      </c>
      <c r="N172" s="3" t="str" cm="1">
        <f t="array" ref="N172">_xlfn.IFS(
OR(ISNUMBER(SEARCH("email",D172)),ISNUMBER(SEARCH("email",F172)),ISNUMBER(SEARCH("polish",D172)),ISNUMBER(SEARCH("rewrite",F172)),ISNUMBER(SEARCH("copy",F172))),"Writing and comms",
OR(ISNUMBER(SEARCH("research",F172)),ISNUMBER(SEARCH("intel",F172)),ISNUMBER(SEARCH("company",D172)),ISNUMBER(SEARCH("digger",D172))),"Research and intel",
OR(ISNUMBER(SEARCH("prompt",D172)),ISNUMBER(SEARCH("prompt",F172))),"Prompting help",
OR(ISNUMBER(SEARCH("role",D172)),ISNUMBER(SEARCH("scorecard",F172)),ISNUMBER(SEARCH("competenc",F172))),"Role and leadership advisory",
OR(ISNUMBER(SEARCH("meeting",F172)),ISNUMBER(SEARCH("notes",F172)),ISNUMBER(SEARCH("summary",F172))),"Meeting notes and summarization",
TRUE,"Other or fragmented"
)</f>
        <v>Other or fragmented</v>
      </c>
      <c r="O172" s="3" t="s">
        <v>23</v>
      </c>
      <c r="P172" s="3"/>
    </row>
    <row r="173" spans="1:16" x14ac:dyDescent="0.25">
      <c r="A173" t="s">
        <v>15</v>
      </c>
      <c r="B173" s="1">
        <v>45992</v>
      </c>
      <c r="C173" s="1">
        <v>46022</v>
      </c>
      <c r="D173" t="s">
        <v>267</v>
      </c>
      <c r="E173" t="s">
        <v>17</v>
      </c>
      <c r="F173" t="s">
        <v>268</v>
      </c>
      <c r="G173">
        <v>0</v>
      </c>
      <c r="J173">
        <v>0</v>
      </c>
      <c r="K173">
        <v>0</v>
      </c>
      <c r="L173" t="s">
        <v>269</v>
      </c>
      <c r="M173" s="10" t="s">
        <v>19</v>
      </c>
      <c r="N173" s="3" t="str" cm="1">
        <f t="array" ref="N173">_xlfn.IFS(
OR(ISNUMBER(SEARCH("email",D173)),ISNUMBER(SEARCH("email",F173)),ISNUMBER(SEARCH("polish",D173)),ISNUMBER(SEARCH("rewrite",F173)),ISNUMBER(SEARCH("copy",F173))),"Writing and comms",
OR(ISNUMBER(SEARCH("research",F173)),ISNUMBER(SEARCH("intel",F173)),ISNUMBER(SEARCH("company",D173)),ISNUMBER(SEARCH("digger",D173))),"Research and intel",
OR(ISNUMBER(SEARCH("prompt",D173)),ISNUMBER(SEARCH("prompt",F173))),"Prompting help",
OR(ISNUMBER(SEARCH("role",D173)),ISNUMBER(SEARCH("scorecard",F173)),ISNUMBER(SEARCH("competenc",F173))),"Role and leadership advisory",
OR(ISNUMBER(SEARCH("meeting",F173)),ISNUMBER(SEARCH("notes",F173)),ISNUMBER(SEARCH("summary",F173))),"Meeting notes and summarization",
TRUE,"Other or fragmented"
)</f>
        <v>Other or fragmented</v>
      </c>
      <c r="O173" s="3" t="s">
        <v>23</v>
      </c>
      <c r="P173" s="3"/>
    </row>
    <row r="174" spans="1:16" x14ac:dyDescent="0.25">
      <c r="A174" t="s">
        <v>15</v>
      </c>
      <c r="B174" s="1">
        <v>45992</v>
      </c>
      <c r="C174" s="1">
        <v>46022</v>
      </c>
      <c r="E174" t="s">
        <v>24</v>
      </c>
      <c r="G174">
        <v>0</v>
      </c>
      <c r="J174">
        <v>0</v>
      </c>
      <c r="K174">
        <v>0</v>
      </c>
      <c r="L174" t="s">
        <v>269</v>
      </c>
      <c r="M174" s="9" t="s">
        <v>19</v>
      </c>
      <c r="N174" s="3" t="str" cm="1">
        <f t="array" ref="N174">_xlfn.IFS(
OR(ISNUMBER(SEARCH("email",D174)),ISNUMBER(SEARCH("email",F174)),ISNUMBER(SEARCH("polish",D174)),ISNUMBER(SEARCH("rewrite",F174)),ISNUMBER(SEARCH("copy",F174))),"Writing and comms",
OR(ISNUMBER(SEARCH("research",F174)),ISNUMBER(SEARCH("intel",F174)),ISNUMBER(SEARCH("company",D174)),ISNUMBER(SEARCH("digger",D174))),"Research and intel",
OR(ISNUMBER(SEARCH("prompt",D174)),ISNUMBER(SEARCH("prompt",F174))),"Prompting help",
OR(ISNUMBER(SEARCH("role",D174)),ISNUMBER(SEARCH("scorecard",F174)),ISNUMBER(SEARCH("competenc",F174))),"Role and leadership advisory",
OR(ISNUMBER(SEARCH("meeting",F174)),ISNUMBER(SEARCH("notes",F174)),ISNUMBER(SEARCH("summary",F174))),"Meeting notes and summarization",
TRUE,"Other or fragmented"
)</f>
        <v>Other or fragmented</v>
      </c>
      <c r="O174" s="3" t="s">
        <v>23</v>
      </c>
      <c r="P174" s="3"/>
    </row>
    <row r="175" spans="1:16" x14ac:dyDescent="0.25">
      <c r="A175" t="s">
        <v>15</v>
      </c>
      <c r="B175" s="1">
        <v>45992</v>
      </c>
      <c r="C175" s="1">
        <v>46022</v>
      </c>
      <c r="D175" t="s">
        <v>270</v>
      </c>
      <c r="E175" t="s">
        <v>17</v>
      </c>
      <c r="F175" t="s">
        <v>271</v>
      </c>
      <c r="G175">
        <v>0</v>
      </c>
      <c r="J175">
        <v>0</v>
      </c>
      <c r="K175">
        <v>0</v>
      </c>
      <c r="L175" t="s">
        <v>269</v>
      </c>
      <c r="M175" s="10" t="s">
        <v>19</v>
      </c>
      <c r="N175" s="3" t="str" cm="1">
        <f t="array" ref="N175">_xlfn.IFS(
OR(ISNUMBER(SEARCH("email",D175)),ISNUMBER(SEARCH("email",F175)),ISNUMBER(SEARCH("polish",D175)),ISNUMBER(SEARCH("rewrite",F175)),ISNUMBER(SEARCH("copy",F175))),"Writing and comms",
OR(ISNUMBER(SEARCH("research",F175)),ISNUMBER(SEARCH("intel",F175)),ISNUMBER(SEARCH("company",D175)),ISNUMBER(SEARCH("digger",D175))),"Research and intel",
OR(ISNUMBER(SEARCH("prompt",D175)),ISNUMBER(SEARCH("prompt",F175))),"Prompting help",
OR(ISNUMBER(SEARCH("role",D175)),ISNUMBER(SEARCH("scorecard",F175)),ISNUMBER(SEARCH("competenc",F175))),"Role and leadership advisory",
OR(ISNUMBER(SEARCH("meeting",F175)),ISNUMBER(SEARCH("notes",F175)),ISNUMBER(SEARCH("summary",F175))),"Meeting notes and summarization",
TRUE,"Other or fragmented"
)</f>
        <v>Other or fragmented</v>
      </c>
      <c r="O175" s="3" t="s">
        <v>23</v>
      </c>
      <c r="P175" s="3"/>
    </row>
    <row r="176" spans="1:16" x14ac:dyDescent="0.25">
      <c r="A176" t="s">
        <v>15</v>
      </c>
      <c r="B176" s="1">
        <v>45992</v>
      </c>
      <c r="C176" s="1">
        <v>46022</v>
      </c>
      <c r="E176" t="s">
        <v>24</v>
      </c>
      <c r="G176">
        <v>0</v>
      </c>
      <c r="J176">
        <v>0</v>
      </c>
      <c r="K176">
        <v>0</v>
      </c>
      <c r="L176" t="s">
        <v>272</v>
      </c>
      <c r="M176" s="9" t="s">
        <v>19</v>
      </c>
      <c r="N176" s="3" t="str" cm="1">
        <f t="array" ref="N176">_xlfn.IFS(
OR(ISNUMBER(SEARCH("email",D176)),ISNUMBER(SEARCH("email",F176)),ISNUMBER(SEARCH("polish",D176)),ISNUMBER(SEARCH("rewrite",F176)),ISNUMBER(SEARCH("copy",F176))),"Writing and comms",
OR(ISNUMBER(SEARCH("research",F176)),ISNUMBER(SEARCH("intel",F176)),ISNUMBER(SEARCH("company",D176)),ISNUMBER(SEARCH("digger",D176))),"Research and intel",
OR(ISNUMBER(SEARCH("prompt",D176)),ISNUMBER(SEARCH("prompt",F176))),"Prompting help",
OR(ISNUMBER(SEARCH("role",D176)),ISNUMBER(SEARCH("scorecard",F176)),ISNUMBER(SEARCH("competenc",F176))),"Role and leadership advisory",
OR(ISNUMBER(SEARCH("meeting",F176)),ISNUMBER(SEARCH("notes",F176)),ISNUMBER(SEARCH("summary",F176))),"Meeting notes and summarization",
TRUE,"Other or fragmented"
)</f>
        <v>Other or fragmented</v>
      </c>
      <c r="O176" s="3" t="s">
        <v>23</v>
      </c>
      <c r="P176" s="3"/>
    </row>
    <row r="177" spans="1:16" x14ac:dyDescent="0.25">
      <c r="A177" t="s">
        <v>15</v>
      </c>
      <c r="B177" s="1">
        <v>45992</v>
      </c>
      <c r="C177" s="1">
        <v>46022</v>
      </c>
      <c r="E177" t="s">
        <v>24</v>
      </c>
      <c r="G177">
        <v>0</v>
      </c>
      <c r="J177">
        <v>0</v>
      </c>
      <c r="K177">
        <v>0</v>
      </c>
      <c r="L177" t="s">
        <v>273</v>
      </c>
      <c r="M177" s="10" t="s">
        <v>19</v>
      </c>
      <c r="N177" s="3" t="str" cm="1">
        <f t="array" ref="N177">_xlfn.IFS(
OR(ISNUMBER(SEARCH("email",D177)),ISNUMBER(SEARCH("email",F177)),ISNUMBER(SEARCH("polish",D177)),ISNUMBER(SEARCH("rewrite",F177)),ISNUMBER(SEARCH("copy",F177))),"Writing and comms",
OR(ISNUMBER(SEARCH("research",F177)),ISNUMBER(SEARCH("intel",F177)),ISNUMBER(SEARCH("company",D177)),ISNUMBER(SEARCH("digger",D177))),"Research and intel",
OR(ISNUMBER(SEARCH("prompt",D177)),ISNUMBER(SEARCH("prompt",F177))),"Prompting help",
OR(ISNUMBER(SEARCH("role",D177)),ISNUMBER(SEARCH("scorecard",F177)),ISNUMBER(SEARCH("competenc",F177))),"Role and leadership advisory",
OR(ISNUMBER(SEARCH("meeting",F177)),ISNUMBER(SEARCH("notes",F177)),ISNUMBER(SEARCH("summary",F177))),"Meeting notes and summarization",
TRUE,"Other or fragmented"
)</f>
        <v>Other or fragmented</v>
      </c>
      <c r="O177" s="3" t="s">
        <v>23</v>
      </c>
      <c r="P177" s="3"/>
    </row>
    <row r="178" spans="1:16" x14ac:dyDescent="0.25">
      <c r="A178" t="s">
        <v>15</v>
      </c>
      <c r="B178" s="1">
        <v>45992</v>
      </c>
      <c r="C178" s="1">
        <v>46022</v>
      </c>
      <c r="D178" t="s">
        <v>274</v>
      </c>
      <c r="E178" t="s">
        <v>24</v>
      </c>
      <c r="F178" t="s">
        <v>275</v>
      </c>
      <c r="G178">
        <v>0</v>
      </c>
      <c r="J178">
        <v>0</v>
      </c>
      <c r="K178">
        <v>0</v>
      </c>
      <c r="L178" t="s">
        <v>273</v>
      </c>
      <c r="M178" s="9" t="s">
        <v>19</v>
      </c>
      <c r="N178" s="3" t="str" cm="1">
        <f t="array" ref="N178">_xlfn.IFS(
OR(ISNUMBER(SEARCH("email",D178)),ISNUMBER(SEARCH("email",F178)),ISNUMBER(SEARCH("polish",D178)),ISNUMBER(SEARCH("rewrite",F178)),ISNUMBER(SEARCH("copy",F178))),"Writing and comms",
OR(ISNUMBER(SEARCH("research",F178)),ISNUMBER(SEARCH("intel",F178)),ISNUMBER(SEARCH("company",D178)),ISNUMBER(SEARCH("digger",D178))),"Research and intel",
OR(ISNUMBER(SEARCH("prompt",D178)),ISNUMBER(SEARCH("prompt",F178))),"Prompting help",
OR(ISNUMBER(SEARCH("role",D178)),ISNUMBER(SEARCH("scorecard",F178)),ISNUMBER(SEARCH("competenc",F178))),"Role and leadership advisory",
OR(ISNUMBER(SEARCH("meeting",F178)),ISNUMBER(SEARCH("notes",F178)),ISNUMBER(SEARCH("summary",F178))),"Meeting notes and summarization",
TRUE,"Other or fragmented"
)</f>
        <v>Other or fragmented</v>
      </c>
      <c r="O178" s="3" t="s">
        <v>23</v>
      </c>
      <c r="P178" s="3"/>
    </row>
    <row r="179" spans="1:16" x14ac:dyDescent="0.25">
      <c r="A179" t="s">
        <v>15</v>
      </c>
      <c r="B179" s="1">
        <v>45992</v>
      </c>
      <c r="C179" s="1">
        <v>46022</v>
      </c>
      <c r="D179" t="s">
        <v>276</v>
      </c>
      <c r="E179" t="s">
        <v>17</v>
      </c>
      <c r="F179" t="s">
        <v>277</v>
      </c>
      <c r="G179">
        <v>1</v>
      </c>
      <c r="H179" s="1">
        <v>45996</v>
      </c>
      <c r="I179" s="1">
        <v>46007</v>
      </c>
      <c r="J179">
        <v>33</v>
      </c>
      <c r="K179">
        <v>1</v>
      </c>
      <c r="L179" t="s">
        <v>278</v>
      </c>
      <c r="M179" s="10" t="s">
        <v>19</v>
      </c>
      <c r="N179" s="3" t="str" cm="1">
        <f t="array" ref="N179">_xlfn.IFS(
OR(ISNUMBER(SEARCH("email",D179)),ISNUMBER(SEARCH("email",F179)),ISNUMBER(SEARCH("polish",D179)),ISNUMBER(SEARCH("rewrite",F179)),ISNUMBER(SEARCH("copy",F179))),"Writing and comms",
OR(ISNUMBER(SEARCH("research",F179)),ISNUMBER(SEARCH("intel",F179)),ISNUMBER(SEARCH("company",D179)),ISNUMBER(SEARCH("digger",D179))),"Research and intel",
OR(ISNUMBER(SEARCH("prompt",D179)),ISNUMBER(SEARCH("prompt",F179))),"Prompting help",
OR(ISNUMBER(SEARCH("role",D179)),ISNUMBER(SEARCH("scorecard",F179)),ISNUMBER(SEARCH("competenc",F179))),"Role and leadership advisory",
OR(ISNUMBER(SEARCH("meeting",F179)),ISNUMBER(SEARCH("notes",F179)),ISNUMBER(SEARCH("summary",F179))),"Meeting notes and summarization",
TRUE,"Other or fragmented"
)</f>
        <v>Other or fragmented</v>
      </c>
      <c r="O179" s="3" t="s">
        <v>23</v>
      </c>
      <c r="P179" s="3"/>
    </row>
    <row r="180" spans="1:16" x14ac:dyDescent="0.25">
      <c r="A180" t="s">
        <v>15</v>
      </c>
      <c r="B180" s="1">
        <v>45992</v>
      </c>
      <c r="C180" s="1">
        <v>46022</v>
      </c>
      <c r="D180" t="s">
        <v>279</v>
      </c>
      <c r="E180" t="s">
        <v>24</v>
      </c>
      <c r="F180" t="s">
        <v>280</v>
      </c>
      <c r="G180">
        <v>0</v>
      </c>
      <c r="J180">
        <v>0</v>
      </c>
      <c r="K180">
        <v>0</v>
      </c>
      <c r="L180" t="s">
        <v>278</v>
      </c>
      <c r="M180" s="9" t="s">
        <v>19</v>
      </c>
      <c r="N180" s="3" t="str" cm="1">
        <f t="array" ref="N180">_xlfn.IFS(
OR(ISNUMBER(SEARCH("email",D180)),ISNUMBER(SEARCH("email",F180)),ISNUMBER(SEARCH("polish",D180)),ISNUMBER(SEARCH("rewrite",F180)),ISNUMBER(SEARCH("copy",F180))),"Writing and comms",
OR(ISNUMBER(SEARCH("research",F180)),ISNUMBER(SEARCH("intel",F180)),ISNUMBER(SEARCH("company",D180)),ISNUMBER(SEARCH("digger",D180))),"Research and intel",
OR(ISNUMBER(SEARCH("prompt",D180)),ISNUMBER(SEARCH("prompt",F180))),"Prompting help",
OR(ISNUMBER(SEARCH("role",D180)),ISNUMBER(SEARCH("scorecard",F180)),ISNUMBER(SEARCH("competenc",F180))),"Role and leadership advisory",
OR(ISNUMBER(SEARCH("meeting",F180)),ISNUMBER(SEARCH("notes",F180)),ISNUMBER(SEARCH("summary",F180))),"Meeting notes and summarization",
TRUE,"Other or fragmented"
)</f>
        <v>Other or fragmented</v>
      </c>
      <c r="O180" s="3" t="s">
        <v>23</v>
      </c>
      <c r="P180" s="3"/>
    </row>
    <row r="181" spans="1:16" x14ac:dyDescent="0.25">
      <c r="A181" t="s">
        <v>15</v>
      </c>
      <c r="B181" s="1">
        <v>45992</v>
      </c>
      <c r="C181" s="1">
        <v>46022</v>
      </c>
      <c r="D181" t="s">
        <v>281</v>
      </c>
      <c r="E181" t="s">
        <v>17</v>
      </c>
      <c r="F181" t="s">
        <v>282</v>
      </c>
      <c r="G181">
        <v>1</v>
      </c>
      <c r="H181" s="1">
        <v>45994</v>
      </c>
      <c r="I181" s="1">
        <v>45994</v>
      </c>
      <c r="J181">
        <v>3</v>
      </c>
      <c r="K181">
        <v>1</v>
      </c>
      <c r="L181" t="s">
        <v>283</v>
      </c>
      <c r="M181" s="10" t="s">
        <v>19</v>
      </c>
      <c r="N181" s="3" t="str" cm="1">
        <f t="array" ref="N181">_xlfn.IFS(
OR(ISNUMBER(SEARCH("email",D181)),ISNUMBER(SEARCH("email",F181)),ISNUMBER(SEARCH("polish",D181)),ISNUMBER(SEARCH("rewrite",F181)),ISNUMBER(SEARCH("copy",F181))),"Writing and comms",
OR(ISNUMBER(SEARCH("research",F181)),ISNUMBER(SEARCH("intel",F181)),ISNUMBER(SEARCH("company",D181)),ISNUMBER(SEARCH("digger",D181))),"Research and intel",
OR(ISNUMBER(SEARCH("prompt",D181)),ISNUMBER(SEARCH("prompt",F181))),"Prompting help",
OR(ISNUMBER(SEARCH("role",D181)),ISNUMBER(SEARCH("scorecard",F181)),ISNUMBER(SEARCH("competenc",F181))),"Role and leadership advisory",
OR(ISNUMBER(SEARCH("meeting",F181)),ISNUMBER(SEARCH("notes",F181)),ISNUMBER(SEARCH("summary",F181))),"Meeting notes and summarization",
TRUE,"Other or fragmented"
)</f>
        <v>Other or fragmented</v>
      </c>
      <c r="O181" s="3" t="s">
        <v>23</v>
      </c>
      <c r="P181" s="3"/>
    </row>
    <row r="182" spans="1:16" x14ac:dyDescent="0.25">
      <c r="A182" t="s">
        <v>15</v>
      </c>
      <c r="B182" s="1">
        <v>45992</v>
      </c>
      <c r="C182" s="1">
        <v>46022</v>
      </c>
      <c r="D182" t="s">
        <v>284</v>
      </c>
      <c r="E182" t="s">
        <v>17</v>
      </c>
      <c r="G182">
        <v>1</v>
      </c>
      <c r="H182" s="1">
        <v>46007</v>
      </c>
      <c r="I182" s="1">
        <v>46020</v>
      </c>
      <c r="J182">
        <v>9</v>
      </c>
      <c r="K182">
        <v>1</v>
      </c>
      <c r="L182" t="s">
        <v>283</v>
      </c>
      <c r="M182" s="9" t="s">
        <v>19</v>
      </c>
      <c r="N182" s="3" t="str" cm="1">
        <f t="array" ref="N182">_xlfn.IFS(
OR(ISNUMBER(SEARCH("email",D182)),ISNUMBER(SEARCH("email",F182)),ISNUMBER(SEARCH("polish",D182)),ISNUMBER(SEARCH("rewrite",F182)),ISNUMBER(SEARCH("copy",F182))),"Writing and comms",
OR(ISNUMBER(SEARCH("research",F182)),ISNUMBER(SEARCH("intel",F182)),ISNUMBER(SEARCH("company",D182)),ISNUMBER(SEARCH("digger",D182))),"Research and intel",
OR(ISNUMBER(SEARCH("prompt",D182)),ISNUMBER(SEARCH("prompt",F182))),"Prompting help",
OR(ISNUMBER(SEARCH("role",D182)),ISNUMBER(SEARCH("scorecard",F182)),ISNUMBER(SEARCH("competenc",F182))),"Role and leadership advisory",
OR(ISNUMBER(SEARCH("meeting",F182)),ISNUMBER(SEARCH("notes",F182)),ISNUMBER(SEARCH("summary",F182))),"Meeting notes and summarization",
TRUE,"Other or fragmented"
)</f>
        <v>Other or fragmented</v>
      </c>
      <c r="O182" s="3" t="s">
        <v>23</v>
      </c>
      <c r="P182" s="3"/>
    </row>
    <row r="183" spans="1:16" x14ac:dyDescent="0.25">
      <c r="A183" t="s">
        <v>15</v>
      </c>
      <c r="B183" s="1">
        <v>45992</v>
      </c>
      <c r="C183" s="1">
        <v>46022</v>
      </c>
      <c r="D183" t="s">
        <v>285</v>
      </c>
      <c r="E183" t="s">
        <v>17</v>
      </c>
      <c r="G183">
        <v>1</v>
      </c>
      <c r="H183" s="1">
        <v>45992</v>
      </c>
      <c r="I183" s="1">
        <v>46020</v>
      </c>
      <c r="J183">
        <v>59</v>
      </c>
      <c r="K183">
        <v>1</v>
      </c>
      <c r="L183" t="s">
        <v>283</v>
      </c>
      <c r="M183" s="10" t="s">
        <v>19</v>
      </c>
      <c r="N183" s="3" t="str" cm="1">
        <f t="array" ref="N183">_xlfn.IFS(
OR(ISNUMBER(SEARCH("email",D183)),ISNUMBER(SEARCH("email",F183)),ISNUMBER(SEARCH("polish",D183)),ISNUMBER(SEARCH("rewrite",F183)),ISNUMBER(SEARCH("copy",F183))),"Writing and comms",
OR(ISNUMBER(SEARCH("research",F183)),ISNUMBER(SEARCH("intel",F183)),ISNUMBER(SEARCH("company",D183)),ISNUMBER(SEARCH("digger",D183))),"Research and intel",
OR(ISNUMBER(SEARCH("prompt",D183)),ISNUMBER(SEARCH("prompt",F183))),"Prompting help",
OR(ISNUMBER(SEARCH("role",D183)),ISNUMBER(SEARCH("scorecard",F183)),ISNUMBER(SEARCH("competenc",F183))),"Role and leadership advisory",
OR(ISNUMBER(SEARCH("meeting",F183)),ISNUMBER(SEARCH("notes",F183)),ISNUMBER(SEARCH("summary",F183))),"Meeting notes and summarization",
TRUE,"Other or fragmented"
)</f>
        <v>Other or fragmented</v>
      </c>
      <c r="O183" s="3" t="s">
        <v>23</v>
      </c>
      <c r="P183" s="3"/>
    </row>
    <row r="184" spans="1:16" x14ac:dyDescent="0.25">
      <c r="A184" t="s">
        <v>15</v>
      </c>
      <c r="B184" s="1">
        <v>45992</v>
      </c>
      <c r="C184" s="1">
        <v>46022</v>
      </c>
      <c r="D184" t="s">
        <v>286</v>
      </c>
      <c r="E184" t="s">
        <v>17</v>
      </c>
      <c r="G184">
        <v>0</v>
      </c>
      <c r="J184">
        <v>0</v>
      </c>
      <c r="K184">
        <v>0</v>
      </c>
      <c r="L184" t="s">
        <v>283</v>
      </c>
      <c r="M184" s="9" t="s">
        <v>19</v>
      </c>
      <c r="N184" s="3" t="str" cm="1">
        <f t="array" ref="N184">_xlfn.IFS(
OR(ISNUMBER(SEARCH("email",D184)),ISNUMBER(SEARCH("email",F184)),ISNUMBER(SEARCH("polish",D184)),ISNUMBER(SEARCH("rewrite",F184)),ISNUMBER(SEARCH("copy",F184))),"Writing and comms",
OR(ISNUMBER(SEARCH("research",F184)),ISNUMBER(SEARCH("intel",F184)),ISNUMBER(SEARCH("company",D184)),ISNUMBER(SEARCH("digger",D184))),"Research and intel",
OR(ISNUMBER(SEARCH("prompt",D184)),ISNUMBER(SEARCH("prompt",F184))),"Prompting help",
OR(ISNUMBER(SEARCH("role",D184)),ISNUMBER(SEARCH("scorecard",F184)),ISNUMBER(SEARCH("competenc",F184))),"Role and leadership advisory",
OR(ISNUMBER(SEARCH("meeting",F184)),ISNUMBER(SEARCH("notes",F184)),ISNUMBER(SEARCH("summary",F184))),"Meeting notes and summarization",
TRUE,"Other or fragmented"
)</f>
        <v>Other or fragmented</v>
      </c>
      <c r="O184" s="3" t="s">
        <v>23</v>
      </c>
      <c r="P184" s="3"/>
    </row>
    <row r="185" spans="1:16" x14ac:dyDescent="0.25">
      <c r="A185" t="s">
        <v>15</v>
      </c>
      <c r="B185" s="1">
        <v>45992</v>
      </c>
      <c r="C185" s="1">
        <v>46022</v>
      </c>
      <c r="D185" t="s">
        <v>287</v>
      </c>
      <c r="E185" t="s">
        <v>24</v>
      </c>
      <c r="F185" t="s">
        <v>288</v>
      </c>
      <c r="G185">
        <v>1</v>
      </c>
      <c r="H185" s="1">
        <v>46006</v>
      </c>
      <c r="I185" s="1">
        <v>46008</v>
      </c>
      <c r="J185">
        <v>63</v>
      </c>
      <c r="K185">
        <v>1</v>
      </c>
      <c r="L185" t="s">
        <v>289</v>
      </c>
      <c r="M185" s="10" t="s">
        <v>19</v>
      </c>
      <c r="N185" s="3" t="str" cm="1">
        <f t="array" ref="N185">_xlfn.IFS(
OR(ISNUMBER(SEARCH("email",D185)),ISNUMBER(SEARCH("email",F185)),ISNUMBER(SEARCH("polish",D185)),ISNUMBER(SEARCH("rewrite",F185)),ISNUMBER(SEARCH("copy",F185))),"Writing and comms",
OR(ISNUMBER(SEARCH("research",F185)),ISNUMBER(SEARCH("intel",F185)),ISNUMBER(SEARCH("company",D185)),ISNUMBER(SEARCH("digger",D185))),"Research and intel",
OR(ISNUMBER(SEARCH("prompt",D185)),ISNUMBER(SEARCH("prompt",F185))),"Prompting help",
OR(ISNUMBER(SEARCH("role",D185)),ISNUMBER(SEARCH("scorecard",F185)),ISNUMBER(SEARCH("competenc",F185))),"Role and leadership advisory",
OR(ISNUMBER(SEARCH("meeting",F185)),ISNUMBER(SEARCH("notes",F185)),ISNUMBER(SEARCH("summary",F185))),"Meeting notes and summarization",
TRUE,"Other or fragmented"
)</f>
        <v>Other or fragmented</v>
      </c>
      <c r="O185" s="3" t="s">
        <v>23</v>
      </c>
      <c r="P185" s="3"/>
    </row>
    <row r="186" spans="1:16" x14ac:dyDescent="0.25">
      <c r="A186" t="s">
        <v>15</v>
      </c>
      <c r="B186" s="1">
        <v>45992</v>
      </c>
      <c r="C186" s="1">
        <v>46022</v>
      </c>
      <c r="E186" t="s">
        <v>24</v>
      </c>
      <c r="G186">
        <v>0</v>
      </c>
      <c r="J186">
        <v>0</v>
      </c>
      <c r="K186">
        <v>0</v>
      </c>
      <c r="L186" t="s">
        <v>289</v>
      </c>
      <c r="M186" s="9" t="s">
        <v>19</v>
      </c>
      <c r="N186" s="3" t="str" cm="1">
        <f t="array" ref="N186">_xlfn.IFS(
OR(ISNUMBER(SEARCH("email",D186)),ISNUMBER(SEARCH("email",F186)),ISNUMBER(SEARCH("polish",D186)),ISNUMBER(SEARCH("rewrite",F186)),ISNUMBER(SEARCH("copy",F186))),"Writing and comms",
OR(ISNUMBER(SEARCH("research",F186)),ISNUMBER(SEARCH("intel",F186)),ISNUMBER(SEARCH("company",D186)),ISNUMBER(SEARCH("digger",D186))),"Research and intel",
OR(ISNUMBER(SEARCH("prompt",D186)),ISNUMBER(SEARCH("prompt",F186))),"Prompting help",
OR(ISNUMBER(SEARCH("role",D186)),ISNUMBER(SEARCH("scorecard",F186)),ISNUMBER(SEARCH("competenc",F186))),"Role and leadership advisory",
OR(ISNUMBER(SEARCH("meeting",F186)),ISNUMBER(SEARCH("notes",F186)),ISNUMBER(SEARCH("summary",F186))),"Meeting notes and summarization",
TRUE,"Other or fragmented"
)</f>
        <v>Other or fragmented</v>
      </c>
      <c r="O186" s="3" t="s">
        <v>23</v>
      </c>
      <c r="P186" s="3"/>
    </row>
    <row r="187" spans="1:16" x14ac:dyDescent="0.25">
      <c r="A187" t="s">
        <v>15</v>
      </c>
      <c r="B187" s="1">
        <v>45992</v>
      </c>
      <c r="C187" s="1">
        <v>46022</v>
      </c>
      <c r="E187" t="s">
        <v>24</v>
      </c>
      <c r="G187">
        <v>0</v>
      </c>
      <c r="J187">
        <v>0</v>
      </c>
      <c r="K187">
        <v>0</v>
      </c>
      <c r="L187" t="s">
        <v>289</v>
      </c>
      <c r="M187" s="10" t="s">
        <v>19</v>
      </c>
      <c r="N187" s="3" t="str" cm="1">
        <f t="array" ref="N187">_xlfn.IFS(
OR(ISNUMBER(SEARCH("email",D187)),ISNUMBER(SEARCH("email",F187)),ISNUMBER(SEARCH("polish",D187)),ISNUMBER(SEARCH("rewrite",F187)),ISNUMBER(SEARCH("copy",F187))),"Writing and comms",
OR(ISNUMBER(SEARCH("research",F187)),ISNUMBER(SEARCH("intel",F187)),ISNUMBER(SEARCH("company",D187)),ISNUMBER(SEARCH("digger",D187))),"Research and intel",
OR(ISNUMBER(SEARCH("prompt",D187)),ISNUMBER(SEARCH("prompt",F187))),"Prompting help",
OR(ISNUMBER(SEARCH("role",D187)),ISNUMBER(SEARCH("scorecard",F187)),ISNUMBER(SEARCH("competenc",F187))),"Role and leadership advisory",
OR(ISNUMBER(SEARCH("meeting",F187)),ISNUMBER(SEARCH("notes",F187)),ISNUMBER(SEARCH("summary",F187))),"Meeting notes and summarization",
TRUE,"Other or fragmented"
)</f>
        <v>Other or fragmented</v>
      </c>
      <c r="O187" s="3" t="s">
        <v>23</v>
      </c>
      <c r="P187" s="3"/>
    </row>
    <row r="188" spans="1:16" x14ac:dyDescent="0.25">
      <c r="A188" t="s">
        <v>15</v>
      </c>
      <c r="B188" s="1">
        <v>45992</v>
      </c>
      <c r="C188" s="1">
        <v>46022</v>
      </c>
      <c r="E188" t="s">
        <v>24</v>
      </c>
      <c r="G188">
        <v>0</v>
      </c>
      <c r="J188">
        <v>0</v>
      </c>
      <c r="K188">
        <v>0</v>
      </c>
      <c r="L188" t="s">
        <v>289</v>
      </c>
      <c r="M188" s="9" t="s">
        <v>19</v>
      </c>
      <c r="N188" s="3" t="str" cm="1">
        <f t="array" ref="N188">_xlfn.IFS(
OR(ISNUMBER(SEARCH("email",D188)),ISNUMBER(SEARCH("email",F188)),ISNUMBER(SEARCH("polish",D188)),ISNUMBER(SEARCH("rewrite",F188)),ISNUMBER(SEARCH("copy",F188))),"Writing and comms",
OR(ISNUMBER(SEARCH("research",F188)),ISNUMBER(SEARCH("intel",F188)),ISNUMBER(SEARCH("company",D188)),ISNUMBER(SEARCH("digger",D188))),"Research and intel",
OR(ISNUMBER(SEARCH("prompt",D188)),ISNUMBER(SEARCH("prompt",F188))),"Prompting help",
OR(ISNUMBER(SEARCH("role",D188)),ISNUMBER(SEARCH("scorecard",F188)),ISNUMBER(SEARCH("competenc",F188))),"Role and leadership advisory",
OR(ISNUMBER(SEARCH("meeting",F188)),ISNUMBER(SEARCH("notes",F188)),ISNUMBER(SEARCH("summary",F188))),"Meeting notes and summarization",
TRUE,"Other or fragmented"
)</f>
        <v>Other or fragmented</v>
      </c>
      <c r="O188" s="3" t="s">
        <v>23</v>
      </c>
      <c r="P188" s="3"/>
    </row>
    <row r="189" spans="1:16" x14ac:dyDescent="0.25">
      <c r="A189" t="s">
        <v>15</v>
      </c>
      <c r="B189" s="1">
        <v>45992</v>
      </c>
      <c r="C189" s="1">
        <v>46022</v>
      </c>
      <c r="D189" t="s">
        <v>290</v>
      </c>
      <c r="E189" t="s">
        <v>17</v>
      </c>
      <c r="F189" t="s">
        <v>291</v>
      </c>
      <c r="G189">
        <v>1</v>
      </c>
      <c r="H189" s="1">
        <v>45996</v>
      </c>
      <c r="I189" s="1">
        <v>46014</v>
      </c>
      <c r="J189">
        <v>4</v>
      </c>
      <c r="K189">
        <v>1</v>
      </c>
      <c r="L189" t="s">
        <v>292</v>
      </c>
      <c r="M189" s="10" t="s">
        <v>19</v>
      </c>
      <c r="N189" s="3" t="str" cm="1">
        <f t="array" ref="N189">_xlfn.IFS(
OR(ISNUMBER(SEARCH("email",D189)),ISNUMBER(SEARCH("email",F189)),ISNUMBER(SEARCH("polish",D189)),ISNUMBER(SEARCH("rewrite",F189)),ISNUMBER(SEARCH("copy",F189))),"Writing and comms",
OR(ISNUMBER(SEARCH("research",F189)),ISNUMBER(SEARCH("intel",F189)),ISNUMBER(SEARCH("company",D189)),ISNUMBER(SEARCH("digger",D189))),"Research and intel",
OR(ISNUMBER(SEARCH("prompt",D189)),ISNUMBER(SEARCH("prompt",F189))),"Prompting help",
OR(ISNUMBER(SEARCH("role",D189)),ISNUMBER(SEARCH("scorecard",F189)),ISNUMBER(SEARCH("competenc",F189))),"Role and leadership advisory",
OR(ISNUMBER(SEARCH("meeting",F189)),ISNUMBER(SEARCH("notes",F189)),ISNUMBER(SEARCH("summary",F189))),"Meeting notes and summarization",
TRUE,"Other or fragmented"
)</f>
        <v>Writing and comms</v>
      </c>
      <c r="O189" s="3" t="s">
        <v>23</v>
      </c>
      <c r="P189" s="3"/>
    </row>
    <row r="190" spans="1:16" x14ac:dyDescent="0.25">
      <c r="A190" t="s">
        <v>15</v>
      </c>
      <c r="B190" s="1">
        <v>45992</v>
      </c>
      <c r="C190" s="1">
        <v>46022</v>
      </c>
      <c r="D190" t="s">
        <v>293</v>
      </c>
      <c r="E190" t="s">
        <v>17</v>
      </c>
      <c r="F190" t="s">
        <v>294</v>
      </c>
      <c r="G190">
        <v>1</v>
      </c>
      <c r="H190" s="1">
        <v>46020</v>
      </c>
      <c r="I190" s="1">
        <v>46020</v>
      </c>
      <c r="J190">
        <v>5</v>
      </c>
      <c r="K190">
        <v>1</v>
      </c>
      <c r="L190" t="s">
        <v>292</v>
      </c>
      <c r="M190" s="9" t="s">
        <v>19</v>
      </c>
      <c r="N190" s="3" t="str" cm="1">
        <f t="array" ref="N190">_xlfn.IFS(
OR(ISNUMBER(SEARCH("email",D190)),ISNUMBER(SEARCH("email",F190)),ISNUMBER(SEARCH("polish",D190)),ISNUMBER(SEARCH("rewrite",F190)),ISNUMBER(SEARCH("copy",F190))),"Writing and comms",
OR(ISNUMBER(SEARCH("research",F190)),ISNUMBER(SEARCH("intel",F190)),ISNUMBER(SEARCH("company",D190)),ISNUMBER(SEARCH("digger",D190))),"Research and intel",
OR(ISNUMBER(SEARCH("prompt",D190)),ISNUMBER(SEARCH("prompt",F190))),"Prompting help",
OR(ISNUMBER(SEARCH("role",D190)),ISNUMBER(SEARCH("scorecard",F190)),ISNUMBER(SEARCH("competenc",F190))),"Role and leadership advisory",
OR(ISNUMBER(SEARCH("meeting",F190)),ISNUMBER(SEARCH("notes",F190)),ISNUMBER(SEARCH("summary",F190))),"Meeting notes and summarization",
TRUE,"Other or fragmented"
)</f>
        <v>Research and intel</v>
      </c>
      <c r="O190" s="3" t="s">
        <v>23</v>
      </c>
      <c r="P190" s="3"/>
    </row>
    <row r="191" spans="1:16" x14ac:dyDescent="0.25">
      <c r="A191" t="s">
        <v>15</v>
      </c>
      <c r="B191" s="1">
        <v>45992</v>
      </c>
      <c r="C191" s="1">
        <v>46022</v>
      </c>
      <c r="D191" t="s">
        <v>295</v>
      </c>
      <c r="E191" t="s">
        <v>17</v>
      </c>
      <c r="F191" t="s">
        <v>296</v>
      </c>
      <c r="G191">
        <v>1</v>
      </c>
      <c r="H191" s="1">
        <v>45996</v>
      </c>
      <c r="I191" s="1">
        <v>46014</v>
      </c>
      <c r="J191">
        <v>14</v>
      </c>
      <c r="K191">
        <v>1</v>
      </c>
      <c r="L191" t="s">
        <v>292</v>
      </c>
      <c r="M191" s="10" t="s">
        <v>19</v>
      </c>
      <c r="N191" s="3" t="str" cm="1">
        <f t="array" ref="N191">_xlfn.IFS(
OR(ISNUMBER(SEARCH("email",D191)),ISNUMBER(SEARCH("email",F191)),ISNUMBER(SEARCH("polish",D191)),ISNUMBER(SEARCH("rewrite",F191)),ISNUMBER(SEARCH("copy",F191))),"Writing and comms",
OR(ISNUMBER(SEARCH("research",F191)),ISNUMBER(SEARCH("intel",F191)),ISNUMBER(SEARCH("company",D191)),ISNUMBER(SEARCH("digger",D191))),"Research and intel",
OR(ISNUMBER(SEARCH("prompt",D191)),ISNUMBER(SEARCH("prompt",F191))),"Prompting help",
OR(ISNUMBER(SEARCH("role",D191)),ISNUMBER(SEARCH("scorecard",F191)),ISNUMBER(SEARCH("competenc",F191))),"Role and leadership advisory",
OR(ISNUMBER(SEARCH("meeting",F191)),ISNUMBER(SEARCH("notes",F191)),ISNUMBER(SEARCH("summary",F191))),"Meeting notes and summarization",
TRUE,"Other or fragmented"
)</f>
        <v>Other or fragmented</v>
      </c>
      <c r="O191" s="3" t="s">
        <v>23</v>
      </c>
      <c r="P191" s="3"/>
    </row>
    <row r="192" spans="1:16" x14ac:dyDescent="0.25">
      <c r="A192" t="s">
        <v>15</v>
      </c>
      <c r="B192" s="1">
        <v>45992</v>
      </c>
      <c r="C192" s="1">
        <v>46022</v>
      </c>
      <c r="D192" t="s">
        <v>297</v>
      </c>
      <c r="E192" t="s">
        <v>17</v>
      </c>
      <c r="F192" t="s">
        <v>298</v>
      </c>
      <c r="G192">
        <v>1</v>
      </c>
      <c r="H192" s="1">
        <v>45995</v>
      </c>
      <c r="I192" s="1">
        <v>46013</v>
      </c>
      <c r="J192">
        <v>29</v>
      </c>
      <c r="K192">
        <v>1</v>
      </c>
      <c r="L192" t="s">
        <v>292</v>
      </c>
      <c r="M192" s="9" t="s">
        <v>19</v>
      </c>
      <c r="N192" s="3" t="str" cm="1">
        <f t="array" ref="N192">_xlfn.IFS(
OR(ISNUMBER(SEARCH("email",D192)),ISNUMBER(SEARCH("email",F192)),ISNUMBER(SEARCH("polish",D192)),ISNUMBER(SEARCH("rewrite",F192)),ISNUMBER(SEARCH("copy",F192))),"Writing and comms",
OR(ISNUMBER(SEARCH("research",F192)),ISNUMBER(SEARCH("intel",F192)),ISNUMBER(SEARCH("company",D192)),ISNUMBER(SEARCH("digger",D192))),"Research and intel",
OR(ISNUMBER(SEARCH("prompt",D192)),ISNUMBER(SEARCH("prompt",F192))),"Prompting help",
OR(ISNUMBER(SEARCH("role",D192)),ISNUMBER(SEARCH("scorecard",F192)),ISNUMBER(SEARCH("competenc",F192))),"Role and leadership advisory",
OR(ISNUMBER(SEARCH("meeting",F192)),ISNUMBER(SEARCH("notes",F192)),ISNUMBER(SEARCH("summary",F192))),"Meeting notes and summarization",
TRUE,"Other or fragmented"
)</f>
        <v>Other or fragmented</v>
      </c>
      <c r="O192" s="3" t="s">
        <v>23</v>
      </c>
      <c r="P192" s="3"/>
    </row>
    <row r="193" spans="1:16" x14ac:dyDescent="0.25">
      <c r="A193" t="s">
        <v>15</v>
      </c>
      <c r="B193" s="1">
        <v>45992</v>
      </c>
      <c r="C193" s="1">
        <v>46022</v>
      </c>
      <c r="D193" t="s">
        <v>299</v>
      </c>
      <c r="E193" t="s">
        <v>17</v>
      </c>
      <c r="F193" t="s">
        <v>300</v>
      </c>
      <c r="G193">
        <v>1</v>
      </c>
      <c r="H193" s="1">
        <v>45996</v>
      </c>
      <c r="I193" s="1">
        <v>46014</v>
      </c>
      <c r="J193">
        <v>50</v>
      </c>
      <c r="K193">
        <v>1</v>
      </c>
      <c r="L193" t="s">
        <v>292</v>
      </c>
      <c r="M193" s="10" t="s">
        <v>19</v>
      </c>
      <c r="N193" s="3" t="str" cm="1">
        <f t="array" ref="N193">_xlfn.IFS(
OR(ISNUMBER(SEARCH("email",D193)),ISNUMBER(SEARCH("email",F193)),ISNUMBER(SEARCH("polish",D193)),ISNUMBER(SEARCH("rewrite",F193)),ISNUMBER(SEARCH("copy",F193))),"Writing and comms",
OR(ISNUMBER(SEARCH("research",F193)),ISNUMBER(SEARCH("intel",F193)),ISNUMBER(SEARCH("company",D193)),ISNUMBER(SEARCH("digger",D193))),"Research and intel",
OR(ISNUMBER(SEARCH("prompt",D193)),ISNUMBER(SEARCH("prompt",F193))),"Prompting help",
OR(ISNUMBER(SEARCH("role",D193)),ISNUMBER(SEARCH("scorecard",F193)),ISNUMBER(SEARCH("competenc",F193))),"Role and leadership advisory",
OR(ISNUMBER(SEARCH("meeting",F193)),ISNUMBER(SEARCH("notes",F193)),ISNUMBER(SEARCH("summary",F193))),"Meeting notes and summarization",
TRUE,"Other or fragmented"
)</f>
        <v>Writing and comms</v>
      </c>
      <c r="O193" s="3" t="s">
        <v>23</v>
      </c>
      <c r="P193" s="3"/>
    </row>
    <row r="194" spans="1:16" x14ac:dyDescent="0.25">
      <c r="A194" t="s">
        <v>15</v>
      </c>
      <c r="B194" s="1">
        <v>45992</v>
      </c>
      <c r="C194" s="1">
        <v>46022</v>
      </c>
      <c r="E194" t="s">
        <v>24</v>
      </c>
      <c r="G194">
        <v>0</v>
      </c>
      <c r="J194">
        <v>0</v>
      </c>
      <c r="K194">
        <v>0</v>
      </c>
      <c r="L194" t="s">
        <v>292</v>
      </c>
      <c r="M194" s="9" t="s">
        <v>19</v>
      </c>
      <c r="N194" s="3" t="str" cm="1">
        <f t="array" ref="N194">_xlfn.IFS(
OR(ISNUMBER(SEARCH("email",D194)),ISNUMBER(SEARCH("email",F194)),ISNUMBER(SEARCH("polish",D194)),ISNUMBER(SEARCH("rewrite",F194)),ISNUMBER(SEARCH("copy",F194))),"Writing and comms",
OR(ISNUMBER(SEARCH("research",F194)),ISNUMBER(SEARCH("intel",F194)),ISNUMBER(SEARCH("company",D194)),ISNUMBER(SEARCH("digger",D194))),"Research and intel",
OR(ISNUMBER(SEARCH("prompt",D194)),ISNUMBER(SEARCH("prompt",F194))),"Prompting help",
OR(ISNUMBER(SEARCH("role",D194)),ISNUMBER(SEARCH("scorecard",F194)),ISNUMBER(SEARCH("competenc",F194))),"Role and leadership advisory",
OR(ISNUMBER(SEARCH("meeting",F194)),ISNUMBER(SEARCH("notes",F194)),ISNUMBER(SEARCH("summary",F194))),"Meeting notes and summarization",
TRUE,"Other or fragmented"
)</f>
        <v>Other or fragmented</v>
      </c>
      <c r="O194" s="3" t="s">
        <v>23</v>
      </c>
      <c r="P194" s="3"/>
    </row>
    <row r="195" spans="1:16" x14ac:dyDescent="0.25">
      <c r="A195" t="s">
        <v>15</v>
      </c>
      <c r="B195" s="1">
        <v>45992</v>
      </c>
      <c r="C195" s="1">
        <v>46022</v>
      </c>
      <c r="E195" t="s">
        <v>24</v>
      </c>
      <c r="G195">
        <v>0</v>
      </c>
      <c r="J195">
        <v>0</v>
      </c>
      <c r="K195">
        <v>0</v>
      </c>
      <c r="L195" t="s">
        <v>301</v>
      </c>
      <c r="M195" s="10" t="s">
        <v>19</v>
      </c>
      <c r="N195" s="3" t="str" cm="1">
        <f t="array" ref="N195">_xlfn.IFS(
OR(ISNUMBER(SEARCH("email",D195)),ISNUMBER(SEARCH("email",F195)),ISNUMBER(SEARCH("polish",D195)),ISNUMBER(SEARCH("rewrite",F195)),ISNUMBER(SEARCH("copy",F195))),"Writing and comms",
OR(ISNUMBER(SEARCH("research",F195)),ISNUMBER(SEARCH("intel",F195)),ISNUMBER(SEARCH("company",D195)),ISNUMBER(SEARCH("digger",D195))),"Research and intel",
OR(ISNUMBER(SEARCH("prompt",D195)),ISNUMBER(SEARCH("prompt",F195))),"Prompting help",
OR(ISNUMBER(SEARCH("role",D195)),ISNUMBER(SEARCH("scorecard",F195)),ISNUMBER(SEARCH("competenc",F195))),"Role and leadership advisory",
OR(ISNUMBER(SEARCH("meeting",F195)),ISNUMBER(SEARCH("notes",F195)),ISNUMBER(SEARCH("summary",F195))),"Meeting notes and summarization",
TRUE,"Other or fragmented"
)</f>
        <v>Other or fragmented</v>
      </c>
      <c r="O195" s="3" t="s">
        <v>23</v>
      </c>
      <c r="P195" s="3"/>
    </row>
    <row r="196" spans="1:16" x14ac:dyDescent="0.25">
      <c r="A196" t="s">
        <v>15</v>
      </c>
      <c r="B196" s="1">
        <v>45992</v>
      </c>
      <c r="C196" s="1">
        <v>46022</v>
      </c>
      <c r="D196" t="s">
        <v>302</v>
      </c>
      <c r="E196" t="s">
        <v>17</v>
      </c>
      <c r="F196" t="s">
        <v>303</v>
      </c>
      <c r="G196">
        <v>0</v>
      </c>
      <c r="J196">
        <v>0</v>
      </c>
      <c r="K196">
        <v>0</v>
      </c>
      <c r="L196" t="s">
        <v>304</v>
      </c>
      <c r="M196" s="9" t="s">
        <v>19</v>
      </c>
      <c r="N196" s="3" t="str" cm="1">
        <f t="array" ref="N196">_xlfn.IFS(
OR(ISNUMBER(SEARCH("email",D196)),ISNUMBER(SEARCH("email",F196)),ISNUMBER(SEARCH("polish",D196)),ISNUMBER(SEARCH("rewrite",F196)),ISNUMBER(SEARCH("copy",F196))),"Writing and comms",
OR(ISNUMBER(SEARCH("research",F196)),ISNUMBER(SEARCH("intel",F196)),ISNUMBER(SEARCH("company",D196)),ISNUMBER(SEARCH("digger",D196))),"Research and intel",
OR(ISNUMBER(SEARCH("prompt",D196)),ISNUMBER(SEARCH("prompt",F196))),"Prompting help",
OR(ISNUMBER(SEARCH("role",D196)),ISNUMBER(SEARCH("scorecard",F196)),ISNUMBER(SEARCH("competenc",F196))),"Role and leadership advisory",
OR(ISNUMBER(SEARCH("meeting",F196)),ISNUMBER(SEARCH("notes",F196)),ISNUMBER(SEARCH("summary",F196))),"Meeting notes and summarization",
TRUE,"Other or fragmented"
)</f>
        <v>Meeting notes and summarization</v>
      </c>
      <c r="O196" s="3" t="s">
        <v>23</v>
      </c>
      <c r="P196" s="3"/>
    </row>
    <row r="197" spans="1:16" x14ac:dyDescent="0.25">
      <c r="A197" t="s">
        <v>15</v>
      </c>
      <c r="B197" s="1">
        <v>45992</v>
      </c>
      <c r="C197" s="1">
        <v>46022</v>
      </c>
      <c r="E197" t="s">
        <v>24</v>
      </c>
      <c r="F197" t="s">
        <v>305</v>
      </c>
      <c r="G197">
        <v>0</v>
      </c>
      <c r="J197">
        <v>0</v>
      </c>
      <c r="K197">
        <v>0</v>
      </c>
      <c r="L197" t="s">
        <v>306</v>
      </c>
      <c r="M197" s="10" t="s">
        <v>19</v>
      </c>
      <c r="N197" s="3" t="str" cm="1">
        <f t="array" ref="N197">_xlfn.IFS(
OR(ISNUMBER(SEARCH("email",D197)),ISNUMBER(SEARCH("email",F197)),ISNUMBER(SEARCH("polish",D197)),ISNUMBER(SEARCH("rewrite",F197)),ISNUMBER(SEARCH("copy",F197))),"Writing and comms",
OR(ISNUMBER(SEARCH("research",F197)),ISNUMBER(SEARCH("intel",F197)),ISNUMBER(SEARCH("company",D197)),ISNUMBER(SEARCH("digger",D197))),"Research and intel",
OR(ISNUMBER(SEARCH("prompt",D197)),ISNUMBER(SEARCH("prompt",F197))),"Prompting help",
OR(ISNUMBER(SEARCH("role",D197)),ISNUMBER(SEARCH("scorecard",F197)),ISNUMBER(SEARCH("competenc",F197))),"Role and leadership advisory",
OR(ISNUMBER(SEARCH("meeting",F197)),ISNUMBER(SEARCH("notes",F197)),ISNUMBER(SEARCH("summary",F197))),"Meeting notes and summarization",
TRUE,"Other or fragmented"
)</f>
        <v>Meeting notes and summarization</v>
      </c>
      <c r="O197" s="3" t="s">
        <v>23</v>
      </c>
      <c r="P197" s="3"/>
    </row>
    <row r="198" spans="1:16" x14ac:dyDescent="0.25">
      <c r="A198" t="s">
        <v>15</v>
      </c>
      <c r="B198" s="1">
        <v>45992</v>
      </c>
      <c r="C198" s="1">
        <v>46022</v>
      </c>
      <c r="E198" t="s">
        <v>24</v>
      </c>
      <c r="G198">
        <v>0</v>
      </c>
      <c r="J198">
        <v>0</v>
      </c>
      <c r="K198">
        <v>0</v>
      </c>
      <c r="L198" t="s">
        <v>306</v>
      </c>
      <c r="M198" s="9" t="s">
        <v>19</v>
      </c>
      <c r="N198" s="3" t="str" cm="1">
        <f t="array" ref="N198">_xlfn.IFS(
OR(ISNUMBER(SEARCH("email",D198)),ISNUMBER(SEARCH("email",F198)),ISNUMBER(SEARCH("polish",D198)),ISNUMBER(SEARCH("rewrite",F198)),ISNUMBER(SEARCH("copy",F198))),"Writing and comms",
OR(ISNUMBER(SEARCH("research",F198)),ISNUMBER(SEARCH("intel",F198)),ISNUMBER(SEARCH("company",D198)),ISNUMBER(SEARCH("digger",D198))),"Research and intel",
OR(ISNUMBER(SEARCH("prompt",D198)),ISNUMBER(SEARCH("prompt",F198))),"Prompting help",
OR(ISNUMBER(SEARCH("role",D198)),ISNUMBER(SEARCH("scorecard",F198)),ISNUMBER(SEARCH("competenc",F198))),"Role and leadership advisory",
OR(ISNUMBER(SEARCH("meeting",F198)),ISNUMBER(SEARCH("notes",F198)),ISNUMBER(SEARCH("summary",F198))),"Meeting notes and summarization",
TRUE,"Other or fragmented"
)</f>
        <v>Other or fragmented</v>
      </c>
      <c r="O198" s="3" t="s">
        <v>23</v>
      </c>
      <c r="P198" s="3"/>
    </row>
    <row r="199" spans="1:16" x14ac:dyDescent="0.25">
      <c r="A199" t="s">
        <v>15</v>
      </c>
      <c r="B199" s="1">
        <v>45992</v>
      </c>
      <c r="C199" s="1">
        <v>46022</v>
      </c>
      <c r="E199" t="s">
        <v>24</v>
      </c>
      <c r="G199">
        <v>0</v>
      </c>
      <c r="J199">
        <v>0</v>
      </c>
      <c r="K199">
        <v>0</v>
      </c>
      <c r="L199" t="s">
        <v>306</v>
      </c>
      <c r="M199" s="10" t="s">
        <v>19</v>
      </c>
      <c r="N199" s="3" t="str" cm="1">
        <f t="array" ref="N199">_xlfn.IFS(
OR(ISNUMBER(SEARCH("email",D199)),ISNUMBER(SEARCH("email",F199)),ISNUMBER(SEARCH("polish",D199)),ISNUMBER(SEARCH("rewrite",F199)),ISNUMBER(SEARCH("copy",F199))),"Writing and comms",
OR(ISNUMBER(SEARCH("research",F199)),ISNUMBER(SEARCH("intel",F199)),ISNUMBER(SEARCH("company",D199)),ISNUMBER(SEARCH("digger",D199))),"Research and intel",
OR(ISNUMBER(SEARCH("prompt",D199)),ISNUMBER(SEARCH("prompt",F199))),"Prompting help",
OR(ISNUMBER(SEARCH("role",D199)),ISNUMBER(SEARCH("scorecard",F199)),ISNUMBER(SEARCH("competenc",F199))),"Role and leadership advisory",
OR(ISNUMBER(SEARCH("meeting",F199)),ISNUMBER(SEARCH("notes",F199)),ISNUMBER(SEARCH("summary",F199))),"Meeting notes and summarization",
TRUE,"Other or fragmented"
)</f>
        <v>Other or fragmented</v>
      </c>
      <c r="O199" s="3" t="s">
        <v>23</v>
      </c>
      <c r="P199" s="3"/>
    </row>
    <row r="200" spans="1:16" x14ac:dyDescent="0.25">
      <c r="A200" t="s">
        <v>15</v>
      </c>
      <c r="B200" s="1">
        <v>45992</v>
      </c>
      <c r="C200" s="1">
        <v>46022</v>
      </c>
      <c r="D200" t="s">
        <v>307</v>
      </c>
      <c r="E200" t="s">
        <v>17</v>
      </c>
      <c r="F200" t="s">
        <v>308</v>
      </c>
      <c r="G200">
        <v>1</v>
      </c>
      <c r="H200" s="1">
        <v>46000</v>
      </c>
      <c r="I200" s="1">
        <v>46008</v>
      </c>
      <c r="J200">
        <v>3</v>
      </c>
      <c r="K200">
        <v>1</v>
      </c>
      <c r="L200" t="s">
        <v>309</v>
      </c>
      <c r="M200" s="9" t="s">
        <v>19</v>
      </c>
      <c r="N200" s="3" t="str" cm="1">
        <f t="array" ref="N200">_xlfn.IFS(
OR(ISNUMBER(SEARCH("email",D200)),ISNUMBER(SEARCH("email",F200)),ISNUMBER(SEARCH("polish",D200)),ISNUMBER(SEARCH("rewrite",F200)),ISNUMBER(SEARCH("copy",F200))),"Writing and comms",
OR(ISNUMBER(SEARCH("research",F200)),ISNUMBER(SEARCH("intel",F200)),ISNUMBER(SEARCH("company",D200)),ISNUMBER(SEARCH("digger",D200))),"Research and intel",
OR(ISNUMBER(SEARCH("prompt",D200)),ISNUMBER(SEARCH("prompt",F200))),"Prompting help",
OR(ISNUMBER(SEARCH("role",D200)),ISNUMBER(SEARCH("scorecard",F200)),ISNUMBER(SEARCH("competenc",F200))),"Role and leadership advisory",
OR(ISNUMBER(SEARCH("meeting",F200)),ISNUMBER(SEARCH("notes",F200)),ISNUMBER(SEARCH("summary",F200))),"Meeting notes and summarization",
TRUE,"Other or fragmented"
)</f>
        <v>Other or fragmented</v>
      </c>
      <c r="O200" s="3" t="s">
        <v>23</v>
      </c>
      <c r="P200" s="3"/>
    </row>
    <row r="201" spans="1:16" x14ac:dyDescent="0.25">
      <c r="A201" t="s">
        <v>15</v>
      </c>
      <c r="B201" s="1">
        <v>45992</v>
      </c>
      <c r="C201" s="1">
        <v>46022</v>
      </c>
      <c r="D201" t="s">
        <v>310</v>
      </c>
      <c r="E201" t="s">
        <v>17</v>
      </c>
      <c r="F201" t="s">
        <v>311</v>
      </c>
      <c r="G201">
        <v>1</v>
      </c>
      <c r="H201" s="1">
        <v>45992</v>
      </c>
      <c r="I201" s="1">
        <v>46000</v>
      </c>
      <c r="J201">
        <v>21</v>
      </c>
      <c r="K201">
        <v>1</v>
      </c>
      <c r="L201" t="s">
        <v>309</v>
      </c>
      <c r="M201" s="10" t="s">
        <v>19</v>
      </c>
      <c r="N201" s="3" t="str" cm="1">
        <f t="array" ref="N201">_xlfn.IFS(
OR(ISNUMBER(SEARCH("email",D201)),ISNUMBER(SEARCH("email",F201)),ISNUMBER(SEARCH("polish",D201)),ISNUMBER(SEARCH("rewrite",F201)),ISNUMBER(SEARCH("copy",F201))),"Writing and comms",
OR(ISNUMBER(SEARCH("research",F201)),ISNUMBER(SEARCH("intel",F201)),ISNUMBER(SEARCH("company",D201)),ISNUMBER(SEARCH("digger",D201))),"Research and intel",
OR(ISNUMBER(SEARCH("prompt",D201)),ISNUMBER(SEARCH("prompt",F201))),"Prompting help",
OR(ISNUMBER(SEARCH("role",D201)),ISNUMBER(SEARCH("scorecard",F201)),ISNUMBER(SEARCH("competenc",F201))),"Role and leadership advisory",
OR(ISNUMBER(SEARCH("meeting",F201)),ISNUMBER(SEARCH("notes",F201)),ISNUMBER(SEARCH("summary",F201))),"Meeting notes and summarization",
TRUE,"Other or fragmented"
)</f>
        <v>Other or fragmented</v>
      </c>
      <c r="O201" s="3" t="s">
        <v>23</v>
      </c>
      <c r="P201" s="3"/>
    </row>
    <row r="202" spans="1:16" x14ac:dyDescent="0.25">
      <c r="A202" t="s">
        <v>15</v>
      </c>
      <c r="B202" s="1">
        <v>45992</v>
      </c>
      <c r="C202" s="1">
        <v>46022</v>
      </c>
      <c r="E202" t="s">
        <v>24</v>
      </c>
      <c r="G202">
        <v>0</v>
      </c>
      <c r="J202">
        <v>0</v>
      </c>
      <c r="K202">
        <v>0</v>
      </c>
      <c r="L202" t="s">
        <v>312</v>
      </c>
      <c r="M202" s="9" t="s">
        <v>19</v>
      </c>
      <c r="N202" s="3" t="str" cm="1">
        <f t="array" ref="N202">_xlfn.IFS(
OR(ISNUMBER(SEARCH("email",D202)),ISNUMBER(SEARCH("email",F202)),ISNUMBER(SEARCH("polish",D202)),ISNUMBER(SEARCH("rewrite",F202)),ISNUMBER(SEARCH("copy",F202))),"Writing and comms",
OR(ISNUMBER(SEARCH("research",F202)),ISNUMBER(SEARCH("intel",F202)),ISNUMBER(SEARCH("company",D202)),ISNUMBER(SEARCH("digger",D202))),"Research and intel",
OR(ISNUMBER(SEARCH("prompt",D202)),ISNUMBER(SEARCH("prompt",F202))),"Prompting help",
OR(ISNUMBER(SEARCH("role",D202)),ISNUMBER(SEARCH("scorecard",F202)),ISNUMBER(SEARCH("competenc",F202))),"Role and leadership advisory",
OR(ISNUMBER(SEARCH("meeting",F202)),ISNUMBER(SEARCH("notes",F202)),ISNUMBER(SEARCH("summary",F202))),"Meeting notes and summarization",
TRUE,"Other or fragmented"
)</f>
        <v>Other or fragmented</v>
      </c>
      <c r="O202" s="3" t="s">
        <v>23</v>
      </c>
      <c r="P202" s="3"/>
    </row>
    <row r="203" spans="1:16" x14ac:dyDescent="0.25">
      <c r="A203" t="s">
        <v>15</v>
      </c>
      <c r="B203" s="1">
        <v>45992</v>
      </c>
      <c r="C203" s="1">
        <v>46022</v>
      </c>
      <c r="D203" t="s">
        <v>313</v>
      </c>
      <c r="E203" t="s">
        <v>24</v>
      </c>
      <c r="F203" t="s">
        <v>314</v>
      </c>
      <c r="G203">
        <v>0</v>
      </c>
      <c r="J203">
        <v>0</v>
      </c>
      <c r="K203">
        <v>0</v>
      </c>
      <c r="L203" t="s">
        <v>315</v>
      </c>
      <c r="M203" s="10" t="s">
        <v>19</v>
      </c>
      <c r="N203" s="3" t="str" cm="1">
        <f t="array" ref="N203">_xlfn.IFS(
OR(ISNUMBER(SEARCH("email",D203)),ISNUMBER(SEARCH("email",F203)),ISNUMBER(SEARCH("polish",D203)),ISNUMBER(SEARCH("rewrite",F203)),ISNUMBER(SEARCH("copy",F203))),"Writing and comms",
OR(ISNUMBER(SEARCH("research",F203)),ISNUMBER(SEARCH("intel",F203)),ISNUMBER(SEARCH("company",D203)),ISNUMBER(SEARCH("digger",D203))),"Research and intel",
OR(ISNUMBER(SEARCH("prompt",D203)),ISNUMBER(SEARCH("prompt",F203))),"Prompting help",
OR(ISNUMBER(SEARCH("role",D203)),ISNUMBER(SEARCH("scorecard",F203)),ISNUMBER(SEARCH("competenc",F203))),"Role and leadership advisory",
OR(ISNUMBER(SEARCH("meeting",F203)),ISNUMBER(SEARCH("notes",F203)),ISNUMBER(SEARCH("summary",F203))),"Meeting notes and summarization",
TRUE,"Other or fragmented"
)</f>
        <v>Writing and comms</v>
      </c>
      <c r="O203" s="3" t="s">
        <v>23</v>
      </c>
      <c r="P203" s="3"/>
    </row>
    <row r="204" spans="1:16" x14ac:dyDescent="0.25">
      <c r="A204" t="s">
        <v>15</v>
      </c>
      <c r="B204" s="1">
        <v>45992</v>
      </c>
      <c r="C204" s="1">
        <v>46022</v>
      </c>
      <c r="E204" t="s">
        <v>24</v>
      </c>
      <c r="G204">
        <v>0</v>
      </c>
      <c r="J204">
        <v>0</v>
      </c>
      <c r="K204">
        <v>0</v>
      </c>
      <c r="L204" t="s">
        <v>315</v>
      </c>
      <c r="M204" s="9" t="s">
        <v>19</v>
      </c>
      <c r="N204" s="3" t="str" cm="1">
        <f t="array" ref="N204">_xlfn.IFS(
OR(ISNUMBER(SEARCH("email",D204)),ISNUMBER(SEARCH("email",F204)),ISNUMBER(SEARCH("polish",D204)),ISNUMBER(SEARCH("rewrite",F204)),ISNUMBER(SEARCH("copy",F204))),"Writing and comms",
OR(ISNUMBER(SEARCH("research",F204)),ISNUMBER(SEARCH("intel",F204)),ISNUMBER(SEARCH("company",D204)),ISNUMBER(SEARCH("digger",D204))),"Research and intel",
OR(ISNUMBER(SEARCH("prompt",D204)),ISNUMBER(SEARCH("prompt",F204))),"Prompting help",
OR(ISNUMBER(SEARCH("role",D204)),ISNUMBER(SEARCH("scorecard",F204)),ISNUMBER(SEARCH("competenc",F204))),"Role and leadership advisory",
OR(ISNUMBER(SEARCH("meeting",F204)),ISNUMBER(SEARCH("notes",F204)),ISNUMBER(SEARCH("summary",F204))),"Meeting notes and summarization",
TRUE,"Other or fragmented"
)</f>
        <v>Other or fragmented</v>
      </c>
      <c r="O204" s="3" t="s">
        <v>23</v>
      </c>
      <c r="P204" s="3"/>
    </row>
    <row r="205" spans="1:16" x14ac:dyDescent="0.25">
      <c r="A205" t="s">
        <v>15</v>
      </c>
      <c r="B205" s="1">
        <v>45992</v>
      </c>
      <c r="C205" s="1">
        <v>46022</v>
      </c>
      <c r="E205" t="s">
        <v>24</v>
      </c>
      <c r="F205" t="s">
        <v>316</v>
      </c>
      <c r="G205">
        <v>0</v>
      </c>
      <c r="J205">
        <v>0</v>
      </c>
      <c r="K205">
        <v>0</v>
      </c>
      <c r="L205" t="s">
        <v>315</v>
      </c>
      <c r="M205" s="10" t="s">
        <v>19</v>
      </c>
      <c r="N205" s="3" t="str" cm="1">
        <f t="array" ref="N205">_xlfn.IFS(
OR(ISNUMBER(SEARCH("email",D205)),ISNUMBER(SEARCH("email",F205)),ISNUMBER(SEARCH("polish",D205)),ISNUMBER(SEARCH("rewrite",F205)),ISNUMBER(SEARCH("copy",F205))),"Writing and comms",
OR(ISNUMBER(SEARCH("research",F205)),ISNUMBER(SEARCH("intel",F205)),ISNUMBER(SEARCH("company",D205)),ISNUMBER(SEARCH("digger",D205))),"Research and intel",
OR(ISNUMBER(SEARCH("prompt",D205)),ISNUMBER(SEARCH("prompt",F205))),"Prompting help",
OR(ISNUMBER(SEARCH("role",D205)),ISNUMBER(SEARCH("scorecard",F205)),ISNUMBER(SEARCH("competenc",F205))),"Role and leadership advisory",
OR(ISNUMBER(SEARCH("meeting",F205)),ISNUMBER(SEARCH("notes",F205)),ISNUMBER(SEARCH("summary",F205))),"Meeting notes and summarization",
TRUE,"Other or fragmented"
)</f>
        <v>Other or fragmented</v>
      </c>
      <c r="O205" s="3" t="s">
        <v>23</v>
      </c>
      <c r="P205" s="3"/>
    </row>
    <row r="206" spans="1:16" x14ac:dyDescent="0.25">
      <c r="A206" t="s">
        <v>15</v>
      </c>
      <c r="B206" s="1">
        <v>45992</v>
      </c>
      <c r="C206" s="1">
        <v>46022</v>
      </c>
      <c r="D206" t="s">
        <v>317</v>
      </c>
      <c r="E206" t="s">
        <v>17</v>
      </c>
      <c r="F206" t="s">
        <v>318</v>
      </c>
      <c r="G206">
        <v>0</v>
      </c>
      <c r="J206">
        <v>0</v>
      </c>
      <c r="K206">
        <v>0</v>
      </c>
      <c r="L206" t="s">
        <v>315</v>
      </c>
      <c r="M206" s="9" t="s">
        <v>19</v>
      </c>
      <c r="N206" s="3" t="str" cm="1">
        <f t="array" ref="N206">_xlfn.IFS(
OR(ISNUMBER(SEARCH("email",D206)),ISNUMBER(SEARCH("email",F206)),ISNUMBER(SEARCH("polish",D206)),ISNUMBER(SEARCH("rewrite",F206)),ISNUMBER(SEARCH("copy",F206))),"Writing and comms",
OR(ISNUMBER(SEARCH("research",F206)),ISNUMBER(SEARCH("intel",F206)),ISNUMBER(SEARCH("company",D206)),ISNUMBER(SEARCH("digger",D206))),"Research and intel",
OR(ISNUMBER(SEARCH("prompt",D206)),ISNUMBER(SEARCH("prompt",F206))),"Prompting help",
OR(ISNUMBER(SEARCH("role",D206)),ISNUMBER(SEARCH("scorecard",F206)),ISNUMBER(SEARCH("competenc",F206))),"Role and leadership advisory",
OR(ISNUMBER(SEARCH("meeting",F206)),ISNUMBER(SEARCH("notes",F206)),ISNUMBER(SEARCH("summary",F206))),"Meeting notes and summarization",
TRUE,"Other or fragmented"
)</f>
        <v>Research and intel</v>
      </c>
      <c r="O206" s="3" t="s">
        <v>23</v>
      </c>
      <c r="P206" s="3"/>
    </row>
    <row r="207" spans="1:16" x14ac:dyDescent="0.25">
      <c r="A207" t="s">
        <v>15</v>
      </c>
      <c r="B207" s="1">
        <v>45992</v>
      </c>
      <c r="C207" s="1">
        <v>46022</v>
      </c>
      <c r="D207" t="s">
        <v>319</v>
      </c>
      <c r="E207" t="s">
        <v>17</v>
      </c>
      <c r="F207" t="s">
        <v>320</v>
      </c>
      <c r="G207">
        <v>1</v>
      </c>
      <c r="H207" s="1">
        <v>45993</v>
      </c>
      <c r="I207" s="1">
        <v>46008</v>
      </c>
      <c r="J207">
        <v>62</v>
      </c>
      <c r="K207">
        <v>1</v>
      </c>
      <c r="L207" t="s">
        <v>321</v>
      </c>
      <c r="M207" s="10" t="s">
        <v>19</v>
      </c>
      <c r="N207" s="3" t="str" cm="1">
        <f t="array" ref="N207">_xlfn.IFS(
OR(ISNUMBER(SEARCH("email",D207)),ISNUMBER(SEARCH("email",F207)),ISNUMBER(SEARCH("polish",D207)),ISNUMBER(SEARCH("rewrite",F207)),ISNUMBER(SEARCH("copy",F207))),"Writing and comms",
OR(ISNUMBER(SEARCH("research",F207)),ISNUMBER(SEARCH("intel",F207)),ISNUMBER(SEARCH("company",D207)),ISNUMBER(SEARCH("digger",D207))),"Research and intel",
OR(ISNUMBER(SEARCH("prompt",D207)),ISNUMBER(SEARCH("prompt",F207))),"Prompting help",
OR(ISNUMBER(SEARCH("role",D207)),ISNUMBER(SEARCH("scorecard",F207)),ISNUMBER(SEARCH("competenc",F207))),"Role and leadership advisory",
OR(ISNUMBER(SEARCH("meeting",F207)),ISNUMBER(SEARCH("notes",F207)),ISNUMBER(SEARCH("summary",F207))),"Meeting notes and summarization",
TRUE,"Other or fragmented"
)</f>
        <v>Meeting notes and summarization</v>
      </c>
      <c r="O207" s="3" t="s">
        <v>23</v>
      </c>
      <c r="P207" s="3"/>
    </row>
    <row r="208" spans="1:16" x14ac:dyDescent="0.25">
      <c r="A208" t="s">
        <v>15</v>
      </c>
      <c r="B208" s="1">
        <v>45992</v>
      </c>
      <c r="C208" s="1">
        <v>46022</v>
      </c>
      <c r="D208" t="s">
        <v>322</v>
      </c>
      <c r="E208" t="s">
        <v>17</v>
      </c>
      <c r="F208" t="s">
        <v>323</v>
      </c>
      <c r="G208">
        <v>0</v>
      </c>
      <c r="J208">
        <v>0</v>
      </c>
      <c r="K208">
        <v>0</v>
      </c>
      <c r="L208" t="s">
        <v>321</v>
      </c>
      <c r="M208" s="9" t="s">
        <v>19</v>
      </c>
      <c r="N208" s="3" t="str" cm="1">
        <f t="array" ref="N208">_xlfn.IFS(
OR(ISNUMBER(SEARCH("email",D208)),ISNUMBER(SEARCH("email",F208)),ISNUMBER(SEARCH("polish",D208)),ISNUMBER(SEARCH("rewrite",F208)),ISNUMBER(SEARCH("copy",F208))),"Writing and comms",
OR(ISNUMBER(SEARCH("research",F208)),ISNUMBER(SEARCH("intel",F208)),ISNUMBER(SEARCH("company",D208)),ISNUMBER(SEARCH("digger",D208))),"Research and intel",
OR(ISNUMBER(SEARCH("prompt",D208)),ISNUMBER(SEARCH("prompt",F208))),"Prompting help",
OR(ISNUMBER(SEARCH("role",D208)),ISNUMBER(SEARCH("scorecard",F208)),ISNUMBER(SEARCH("competenc",F208))),"Role and leadership advisory",
OR(ISNUMBER(SEARCH("meeting",F208)),ISNUMBER(SEARCH("notes",F208)),ISNUMBER(SEARCH("summary",F208))),"Meeting notes and summarization",
TRUE,"Other or fragmented"
)</f>
        <v>Other or fragmented</v>
      </c>
      <c r="O208" s="3" t="s">
        <v>23</v>
      </c>
      <c r="P208" s="3"/>
    </row>
    <row r="209" spans="1:16" x14ac:dyDescent="0.25">
      <c r="A209" t="s">
        <v>15</v>
      </c>
      <c r="B209" s="1">
        <v>45992</v>
      </c>
      <c r="C209" s="1">
        <v>46022</v>
      </c>
      <c r="D209" t="s">
        <v>324</v>
      </c>
      <c r="E209" t="s">
        <v>24</v>
      </c>
      <c r="F209" t="s">
        <v>325</v>
      </c>
      <c r="G209">
        <v>1</v>
      </c>
      <c r="H209" s="1">
        <v>46007</v>
      </c>
      <c r="I209" s="1">
        <v>46007</v>
      </c>
      <c r="J209">
        <v>10</v>
      </c>
      <c r="K209">
        <v>1</v>
      </c>
      <c r="L209" t="s">
        <v>326</v>
      </c>
      <c r="M209" s="10" t="s">
        <v>19</v>
      </c>
      <c r="N209" s="3" t="str" cm="1">
        <f t="array" ref="N209">_xlfn.IFS(
OR(ISNUMBER(SEARCH("email",D209)),ISNUMBER(SEARCH("email",F209)),ISNUMBER(SEARCH("polish",D209)),ISNUMBER(SEARCH("rewrite",F209)),ISNUMBER(SEARCH("copy",F209))),"Writing and comms",
OR(ISNUMBER(SEARCH("research",F209)),ISNUMBER(SEARCH("intel",F209)),ISNUMBER(SEARCH("company",D209)),ISNUMBER(SEARCH("digger",D209))),"Research and intel",
OR(ISNUMBER(SEARCH("prompt",D209)),ISNUMBER(SEARCH("prompt",F209))),"Prompting help",
OR(ISNUMBER(SEARCH("role",D209)),ISNUMBER(SEARCH("scorecard",F209)),ISNUMBER(SEARCH("competenc",F209))),"Role and leadership advisory",
OR(ISNUMBER(SEARCH("meeting",F209)),ISNUMBER(SEARCH("notes",F209)),ISNUMBER(SEARCH("summary",F209))),"Meeting notes and summarization",
TRUE,"Other or fragmented"
)</f>
        <v>Other or fragmented</v>
      </c>
      <c r="O209" s="3" t="s">
        <v>23</v>
      </c>
      <c r="P209" s="3"/>
    </row>
    <row r="210" spans="1:16" x14ac:dyDescent="0.25">
      <c r="A210" t="s">
        <v>15</v>
      </c>
      <c r="B210" s="1">
        <v>45992</v>
      </c>
      <c r="C210" s="1">
        <v>46022</v>
      </c>
      <c r="D210" t="s">
        <v>327</v>
      </c>
      <c r="E210" t="s">
        <v>24</v>
      </c>
      <c r="F210" t="s">
        <v>328</v>
      </c>
      <c r="G210">
        <v>1</v>
      </c>
      <c r="H210" s="1">
        <v>46013</v>
      </c>
      <c r="I210" s="1">
        <v>46013</v>
      </c>
      <c r="J210">
        <v>10</v>
      </c>
      <c r="K210">
        <v>1</v>
      </c>
      <c r="L210" t="s">
        <v>326</v>
      </c>
      <c r="M210" s="9" t="s">
        <v>19</v>
      </c>
      <c r="N210" s="3" t="str" cm="1">
        <f t="array" ref="N210">_xlfn.IFS(
OR(ISNUMBER(SEARCH("email",D210)),ISNUMBER(SEARCH("email",F210)),ISNUMBER(SEARCH("polish",D210)),ISNUMBER(SEARCH("rewrite",F210)),ISNUMBER(SEARCH("copy",F210))),"Writing and comms",
OR(ISNUMBER(SEARCH("research",F210)),ISNUMBER(SEARCH("intel",F210)),ISNUMBER(SEARCH("company",D210)),ISNUMBER(SEARCH("digger",D210))),"Research and intel",
OR(ISNUMBER(SEARCH("prompt",D210)),ISNUMBER(SEARCH("prompt",F210))),"Prompting help",
OR(ISNUMBER(SEARCH("role",D210)),ISNUMBER(SEARCH("scorecard",F210)),ISNUMBER(SEARCH("competenc",F210))),"Role and leadership advisory",
OR(ISNUMBER(SEARCH("meeting",F210)),ISNUMBER(SEARCH("notes",F210)),ISNUMBER(SEARCH("summary",F210))),"Meeting notes and summarization",
TRUE,"Other or fragmented"
)</f>
        <v>Other or fragmented</v>
      </c>
      <c r="O210" s="3" t="s">
        <v>23</v>
      </c>
      <c r="P210" s="3"/>
    </row>
    <row r="211" spans="1:16" x14ac:dyDescent="0.25">
      <c r="A211" t="s">
        <v>15</v>
      </c>
      <c r="B211" s="1">
        <v>45992</v>
      </c>
      <c r="C211" s="1">
        <v>46022</v>
      </c>
      <c r="D211" t="s">
        <v>329</v>
      </c>
      <c r="E211" t="s">
        <v>17</v>
      </c>
      <c r="F211" t="s">
        <v>330</v>
      </c>
      <c r="G211">
        <v>1</v>
      </c>
      <c r="H211" s="1">
        <v>45993</v>
      </c>
      <c r="I211" s="1">
        <v>45994</v>
      </c>
      <c r="J211">
        <v>21</v>
      </c>
      <c r="K211">
        <v>1</v>
      </c>
      <c r="L211" t="s">
        <v>326</v>
      </c>
      <c r="M211" s="10" t="s">
        <v>19</v>
      </c>
      <c r="N211" s="3" t="str" cm="1">
        <f t="array" ref="N211">_xlfn.IFS(
OR(ISNUMBER(SEARCH("email",D211)),ISNUMBER(SEARCH("email",F211)),ISNUMBER(SEARCH("polish",D211)),ISNUMBER(SEARCH("rewrite",F211)),ISNUMBER(SEARCH("copy",F211))),"Writing and comms",
OR(ISNUMBER(SEARCH("research",F211)),ISNUMBER(SEARCH("intel",F211)),ISNUMBER(SEARCH("company",D211)),ISNUMBER(SEARCH("digger",D211))),"Research and intel",
OR(ISNUMBER(SEARCH("prompt",D211)),ISNUMBER(SEARCH("prompt",F211))),"Prompting help",
OR(ISNUMBER(SEARCH("role",D211)),ISNUMBER(SEARCH("scorecard",F211)),ISNUMBER(SEARCH("competenc",F211))),"Role and leadership advisory",
OR(ISNUMBER(SEARCH("meeting",F211)),ISNUMBER(SEARCH("notes",F211)),ISNUMBER(SEARCH("summary",F211))),"Meeting notes and summarization",
TRUE,"Other or fragmented"
)</f>
        <v>Other or fragmented</v>
      </c>
      <c r="O211" s="3" t="s">
        <v>23</v>
      </c>
      <c r="P211" s="3"/>
    </row>
    <row r="212" spans="1:16" x14ac:dyDescent="0.25">
      <c r="A212" t="s">
        <v>15</v>
      </c>
      <c r="B212" s="1">
        <v>45992</v>
      </c>
      <c r="C212" s="1">
        <v>46022</v>
      </c>
      <c r="E212" t="s">
        <v>24</v>
      </c>
      <c r="G212">
        <v>0</v>
      </c>
      <c r="J212">
        <v>0</v>
      </c>
      <c r="K212">
        <v>0</v>
      </c>
      <c r="L212" t="s">
        <v>326</v>
      </c>
      <c r="M212" s="9" t="s">
        <v>19</v>
      </c>
      <c r="N212" s="3" t="str" cm="1">
        <f t="array" ref="N212">_xlfn.IFS(
OR(ISNUMBER(SEARCH("email",D212)),ISNUMBER(SEARCH("email",F212)),ISNUMBER(SEARCH("polish",D212)),ISNUMBER(SEARCH("rewrite",F212)),ISNUMBER(SEARCH("copy",F212))),"Writing and comms",
OR(ISNUMBER(SEARCH("research",F212)),ISNUMBER(SEARCH("intel",F212)),ISNUMBER(SEARCH("company",D212)),ISNUMBER(SEARCH("digger",D212))),"Research and intel",
OR(ISNUMBER(SEARCH("prompt",D212)),ISNUMBER(SEARCH("prompt",F212))),"Prompting help",
OR(ISNUMBER(SEARCH("role",D212)),ISNUMBER(SEARCH("scorecard",F212)),ISNUMBER(SEARCH("competenc",F212))),"Role and leadership advisory",
OR(ISNUMBER(SEARCH("meeting",F212)),ISNUMBER(SEARCH("notes",F212)),ISNUMBER(SEARCH("summary",F212))),"Meeting notes and summarization",
TRUE,"Other or fragmented"
)</f>
        <v>Other or fragmented</v>
      </c>
      <c r="O212" s="3" t="s">
        <v>23</v>
      </c>
      <c r="P212" s="3"/>
    </row>
    <row r="213" spans="1:16" x14ac:dyDescent="0.25">
      <c r="A213" t="s">
        <v>15</v>
      </c>
      <c r="B213" s="1">
        <v>45992</v>
      </c>
      <c r="C213" s="1">
        <v>46022</v>
      </c>
      <c r="D213" t="s">
        <v>331</v>
      </c>
      <c r="E213" t="s">
        <v>17</v>
      </c>
      <c r="F213" t="s">
        <v>332</v>
      </c>
      <c r="G213">
        <v>0</v>
      </c>
      <c r="J213">
        <v>0</v>
      </c>
      <c r="K213">
        <v>0</v>
      </c>
      <c r="L213" t="s">
        <v>326</v>
      </c>
      <c r="M213" s="10" t="s">
        <v>19</v>
      </c>
      <c r="N213" s="3" t="str" cm="1">
        <f t="array" ref="N213">_xlfn.IFS(
OR(ISNUMBER(SEARCH("email",D213)),ISNUMBER(SEARCH("email",F213)),ISNUMBER(SEARCH("polish",D213)),ISNUMBER(SEARCH("rewrite",F213)),ISNUMBER(SEARCH("copy",F213))),"Writing and comms",
OR(ISNUMBER(SEARCH("research",F213)),ISNUMBER(SEARCH("intel",F213)),ISNUMBER(SEARCH("company",D213)),ISNUMBER(SEARCH("digger",D213))),"Research and intel",
OR(ISNUMBER(SEARCH("prompt",D213)),ISNUMBER(SEARCH("prompt",F213))),"Prompting help",
OR(ISNUMBER(SEARCH("role",D213)),ISNUMBER(SEARCH("scorecard",F213)),ISNUMBER(SEARCH("competenc",F213))),"Role and leadership advisory",
OR(ISNUMBER(SEARCH("meeting",F213)),ISNUMBER(SEARCH("notes",F213)),ISNUMBER(SEARCH("summary",F213))),"Meeting notes and summarization",
TRUE,"Other or fragmented"
)</f>
        <v>Meeting notes and summarization</v>
      </c>
      <c r="O213" s="3" t="s">
        <v>23</v>
      </c>
      <c r="P213" s="3"/>
    </row>
    <row r="214" spans="1:16" x14ac:dyDescent="0.25">
      <c r="A214" t="s">
        <v>15</v>
      </c>
      <c r="B214" s="1">
        <v>45992</v>
      </c>
      <c r="C214" s="1">
        <v>46022</v>
      </c>
      <c r="D214" t="s">
        <v>333</v>
      </c>
      <c r="E214" t="s">
        <v>17</v>
      </c>
      <c r="F214" t="s">
        <v>334</v>
      </c>
      <c r="G214">
        <v>1</v>
      </c>
      <c r="H214" s="1">
        <v>45994</v>
      </c>
      <c r="I214" s="1">
        <v>45994</v>
      </c>
      <c r="J214">
        <v>3</v>
      </c>
      <c r="K214">
        <v>1</v>
      </c>
      <c r="L214" t="s">
        <v>335</v>
      </c>
      <c r="M214" s="9" t="s">
        <v>19</v>
      </c>
      <c r="N214" s="3" t="str" cm="1">
        <f t="array" ref="N214">_xlfn.IFS(
OR(ISNUMBER(SEARCH("email",D214)),ISNUMBER(SEARCH("email",F214)),ISNUMBER(SEARCH("polish",D214)),ISNUMBER(SEARCH("rewrite",F214)),ISNUMBER(SEARCH("copy",F214))),"Writing and comms",
OR(ISNUMBER(SEARCH("research",F214)),ISNUMBER(SEARCH("intel",F214)),ISNUMBER(SEARCH("company",D214)),ISNUMBER(SEARCH("digger",D214))),"Research and intel",
OR(ISNUMBER(SEARCH("prompt",D214)),ISNUMBER(SEARCH("prompt",F214))),"Prompting help",
OR(ISNUMBER(SEARCH("role",D214)),ISNUMBER(SEARCH("scorecard",F214)),ISNUMBER(SEARCH("competenc",F214))),"Role and leadership advisory",
OR(ISNUMBER(SEARCH("meeting",F214)),ISNUMBER(SEARCH("notes",F214)),ISNUMBER(SEARCH("summary",F214))),"Meeting notes and summarization",
TRUE,"Other or fragmented"
)</f>
        <v>Other or fragmented</v>
      </c>
      <c r="O214" s="3" t="s">
        <v>23</v>
      </c>
      <c r="P214" s="3"/>
    </row>
    <row r="215" spans="1:16" x14ac:dyDescent="0.25">
      <c r="A215" t="s">
        <v>15</v>
      </c>
      <c r="B215" s="1">
        <v>45992</v>
      </c>
      <c r="C215" s="1">
        <v>46022</v>
      </c>
      <c r="E215" t="s">
        <v>24</v>
      </c>
      <c r="G215">
        <v>0</v>
      </c>
      <c r="J215">
        <v>0</v>
      </c>
      <c r="K215">
        <v>0</v>
      </c>
      <c r="L215" t="s">
        <v>335</v>
      </c>
      <c r="M215" s="10" t="s">
        <v>19</v>
      </c>
      <c r="N215" s="3" t="str" cm="1">
        <f t="array" ref="N215">_xlfn.IFS(
OR(ISNUMBER(SEARCH("email",D215)),ISNUMBER(SEARCH("email",F215)),ISNUMBER(SEARCH("polish",D215)),ISNUMBER(SEARCH("rewrite",F215)),ISNUMBER(SEARCH("copy",F215))),"Writing and comms",
OR(ISNUMBER(SEARCH("research",F215)),ISNUMBER(SEARCH("intel",F215)),ISNUMBER(SEARCH("company",D215)),ISNUMBER(SEARCH("digger",D215))),"Research and intel",
OR(ISNUMBER(SEARCH("prompt",D215)),ISNUMBER(SEARCH("prompt",F215))),"Prompting help",
OR(ISNUMBER(SEARCH("role",D215)),ISNUMBER(SEARCH("scorecard",F215)),ISNUMBER(SEARCH("competenc",F215))),"Role and leadership advisory",
OR(ISNUMBER(SEARCH("meeting",F215)),ISNUMBER(SEARCH("notes",F215)),ISNUMBER(SEARCH("summary",F215))),"Meeting notes and summarization",
TRUE,"Other or fragmented"
)</f>
        <v>Other or fragmented</v>
      </c>
      <c r="O215" s="3" t="s">
        <v>23</v>
      </c>
      <c r="P215" s="3"/>
    </row>
    <row r="216" spans="1:16" x14ac:dyDescent="0.25">
      <c r="A216" t="s">
        <v>15</v>
      </c>
      <c r="B216" s="1">
        <v>45992</v>
      </c>
      <c r="C216" s="1">
        <v>46022</v>
      </c>
      <c r="E216" t="s">
        <v>24</v>
      </c>
      <c r="G216">
        <v>0</v>
      </c>
      <c r="J216">
        <v>0</v>
      </c>
      <c r="K216">
        <v>0</v>
      </c>
      <c r="L216" t="s">
        <v>335</v>
      </c>
      <c r="M216" s="9" t="s">
        <v>19</v>
      </c>
      <c r="N216" s="3" t="str" cm="1">
        <f t="array" ref="N216">_xlfn.IFS(
OR(ISNUMBER(SEARCH("email",D216)),ISNUMBER(SEARCH("email",F216)),ISNUMBER(SEARCH("polish",D216)),ISNUMBER(SEARCH("rewrite",F216)),ISNUMBER(SEARCH("copy",F216))),"Writing and comms",
OR(ISNUMBER(SEARCH("research",F216)),ISNUMBER(SEARCH("intel",F216)),ISNUMBER(SEARCH("company",D216)),ISNUMBER(SEARCH("digger",D216))),"Research and intel",
OR(ISNUMBER(SEARCH("prompt",D216)),ISNUMBER(SEARCH("prompt",F216))),"Prompting help",
OR(ISNUMBER(SEARCH("role",D216)),ISNUMBER(SEARCH("scorecard",F216)),ISNUMBER(SEARCH("competenc",F216))),"Role and leadership advisory",
OR(ISNUMBER(SEARCH("meeting",F216)),ISNUMBER(SEARCH("notes",F216)),ISNUMBER(SEARCH("summary",F216))),"Meeting notes and summarization",
TRUE,"Other or fragmented"
)</f>
        <v>Other or fragmented</v>
      </c>
      <c r="O216" s="3" t="s">
        <v>23</v>
      </c>
      <c r="P216" s="3"/>
    </row>
    <row r="217" spans="1:16" x14ac:dyDescent="0.25">
      <c r="A217" t="s">
        <v>15</v>
      </c>
      <c r="B217" s="1">
        <v>45992</v>
      </c>
      <c r="C217" s="1">
        <v>46022</v>
      </c>
      <c r="E217" t="s">
        <v>24</v>
      </c>
      <c r="G217">
        <v>0</v>
      </c>
      <c r="J217">
        <v>0</v>
      </c>
      <c r="K217">
        <v>0</v>
      </c>
      <c r="L217" t="s">
        <v>335</v>
      </c>
      <c r="M217" s="10" t="s">
        <v>19</v>
      </c>
      <c r="N217" s="3" t="str" cm="1">
        <f t="array" ref="N217">_xlfn.IFS(
OR(ISNUMBER(SEARCH("email",D217)),ISNUMBER(SEARCH("email",F217)),ISNUMBER(SEARCH("polish",D217)),ISNUMBER(SEARCH("rewrite",F217)),ISNUMBER(SEARCH("copy",F217))),"Writing and comms",
OR(ISNUMBER(SEARCH("research",F217)),ISNUMBER(SEARCH("intel",F217)),ISNUMBER(SEARCH("company",D217)),ISNUMBER(SEARCH("digger",D217))),"Research and intel",
OR(ISNUMBER(SEARCH("prompt",D217)),ISNUMBER(SEARCH("prompt",F217))),"Prompting help",
OR(ISNUMBER(SEARCH("role",D217)),ISNUMBER(SEARCH("scorecard",F217)),ISNUMBER(SEARCH("competenc",F217))),"Role and leadership advisory",
OR(ISNUMBER(SEARCH("meeting",F217)),ISNUMBER(SEARCH("notes",F217)),ISNUMBER(SEARCH("summary",F217))),"Meeting notes and summarization",
TRUE,"Other or fragmented"
)</f>
        <v>Other or fragmented</v>
      </c>
      <c r="O217" s="3" t="s">
        <v>23</v>
      </c>
      <c r="P217" s="3"/>
    </row>
    <row r="218" spans="1:16" x14ac:dyDescent="0.25">
      <c r="A218" t="s">
        <v>15</v>
      </c>
      <c r="B218" s="1">
        <v>45992</v>
      </c>
      <c r="C218" s="1">
        <v>46022</v>
      </c>
      <c r="D218" t="s">
        <v>336</v>
      </c>
      <c r="E218" t="s">
        <v>17</v>
      </c>
      <c r="F218" t="s">
        <v>337</v>
      </c>
      <c r="G218">
        <v>0</v>
      </c>
      <c r="J218">
        <v>0</v>
      </c>
      <c r="K218">
        <v>0</v>
      </c>
      <c r="L218" t="s">
        <v>335</v>
      </c>
      <c r="M218" s="9" t="s">
        <v>19</v>
      </c>
      <c r="N218" s="3" t="str" cm="1">
        <f t="array" ref="N218">_xlfn.IFS(
OR(ISNUMBER(SEARCH("email",D218)),ISNUMBER(SEARCH("email",F218)),ISNUMBER(SEARCH("polish",D218)),ISNUMBER(SEARCH("rewrite",F218)),ISNUMBER(SEARCH("copy",F218))),"Writing and comms",
OR(ISNUMBER(SEARCH("research",F218)),ISNUMBER(SEARCH("intel",F218)),ISNUMBER(SEARCH("company",D218)),ISNUMBER(SEARCH("digger",D218))),"Research and intel",
OR(ISNUMBER(SEARCH("prompt",D218)),ISNUMBER(SEARCH("prompt",F218))),"Prompting help",
OR(ISNUMBER(SEARCH("role",D218)),ISNUMBER(SEARCH("scorecard",F218)),ISNUMBER(SEARCH("competenc",F218))),"Role and leadership advisory",
OR(ISNUMBER(SEARCH("meeting",F218)),ISNUMBER(SEARCH("notes",F218)),ISNUMBER(SEARCH("summary",F218))),"Meeting notes and summarization",
TRUE,"Other or fragmented"
)</f>
        <v>Research and intel</v>
      </c>
      <c r="O218" s="3" t="s">
        <v>23</v>
      </c>
      <c r="P218" s="3"/>
    </row>
    <row r="219" spans="1:16" x14ac:dyDescent="0.25">
      <c r="A219" t="s">
        <v>15</v>
      </c>
      <c r="B219" s="1">
        <v>45992</v>
      </c>
      <c r="C219" s="1">
        <v>46022</v>
      </c>
      <c r="E219" t="s">
        <v>24</v>
      </c>
      <c r="G219">
        <v>0</v>
      </c>
      <c r="J219">
        <v>0</v>
      </c>
      <c r="K219">
        <v>0</v>
      </c>
      <c r="L219" t="s">
        <v>338</v>
      </c>
      <c r="M219" s="10" t="s">
        <v>19</v>
      </c>
      <c r="N219" s="3" t="str" cm="1">
        <f t="array" ref="N219">_xlfn.IFS(
OR(ISNUMBER(SEARCH("email",D219)),ISNUMBER(SEARCH("email",F219)),ISNUMBER(SEARCH("polish",D219)),ISNUMBER(SEARCH("rewrite",F219)),ISNUMBER(SEARCH("copy",F219))),"Writing and comms",
OR(ISNUMBER(SEARCH("research",F219)),ISNUMBER(SEARCH("intel",F219)),ISNUMBER(SEARCH("company",D219)),ISNUMBER(SEARCH("digger",D219))),"Research and intel",
OR(ISNUMBER(SEARCH("prompt",D219)),ISNUMBER(SEARCH("prompt",F219))),"Prompting help",
OR(ISNUMBER(SEARCH("role",D219)),ISNUMBER(SEARCH("scorecard",F219)),ISNUMBER(SEARCH("competenc",F219))),"Role and leadership advisory",
OR(ISNUMBER(SEARCH("meeting",F219)),ISNUMBER(SEARCH("notes",F219)),ISNUMBER(SEARCH("summary",F219))),"Meeting notes and summarization",
TRUE,"Other or fragmented"
)</f>
        <v>Other or fragmented</v>
      </c>
      <c r="O219" s="3" t="s">
        <v>23</v>
      </c>
      <c r="P219" s="3"/>
    </row>
    <row r="220" spans="1:16" x14ac:dyDescent="0.25">
      <c r="A220" t="s">
        <v>15</v>
      </c>
      <c r="B220" s="1">
        <v>45992</v>
      </c>
      <c r="C220" s="1">
        <v>46022</v>
      </c>
      <c r="E220" t="s">
        <v>24</v>
      </c>
      <c r="G220">
        <v>0</v>
      </c>
      <c r="J220">
        <v>0</v>
      </c>
      <c r="K220">
        <v>0</v>
      </c>
      <c r="L220" t="s">
        <v>338</v>
      </c>
      <c r="M220" s="9" t="s">
        <v>19</v>
      </c>
      <c r="N220" s="3" t="str" cm="1">
        <f t="array" ref="N220">_xlfn.IFS(
OR(ISNUMBER(SEARCH("email",D220)),ISNUMBER(SEARCH("email",F220)),ISNUMBER(SEARCH("polish",D220)),ISNUMBER(SEARCH("rewrite",F220)),ISNUMBER(SEARCH("copy",F220))),"Writing and comms",
OR(ISNUMBER(SEARCH("research",F220)),ISNUMBER(SEARCH("intel",F220)),ISNUMBER(SEARCH("company",D220)),ISNUMBER(SEARCH("digger",D220))),"Research and intel",
OR(ISNUMBER(SEARCH("prompt",D220)),ISNUMBER(SEARCH("prompt",F220))),"Prompting help",
OR(ISNUMBER(SEARCH("role",D220)),ISNUMBER(SEARCH("scorecard",F220)),ISNUMBER(SEARCH("competenc",F220))),"Role and leadership advisory",
OR(ISNUMBER(SEARCH("meeting",F220)),ISNUMBER(SEARCH("notes",F220)),ISNUMBER(SEARCH("summary",F220))),"Meeting notes and summarization",
TRUE,"Other or fragmented"
)</f>
        <v>Other or fragmented</v>
      </c>
      <c r="O220" s="3" t="s">
        <v>23</v>
      </c>
      <c r="P220" s="3"/>
    </row>
    <row r="221" spans="1:16" x14ac:dyDescent="0.25">
      <c r="A221" t="s">
        <v>15</v>
      </c>
      <c r="B221" s="1">
        <v>45992</v>
      </c>
      <c r="C221" s="1">
        <v>46022</v>
      </c>
      <c r="D221" t="s">
        <v>339</v>
      </c>
      <c r="E221" t="s">
        <v>24</v>
      </c>
      <c r="F221" t="s">
        <v>340</v>
      </c>
      <c r="G221">
        <v>1</v>
      </c>
      <c r="H221" s="1">
        <v>46002</v>
      </c>
      <c r="I221" s="1">
        <v>46002</v>
      </c>
      <c r="J221">
        <v>1</v>
      </c>
      <c r="K221">
        <v>1</v>
      </c>
      <c r="L221" t="s">
        <v>341</v>
      </c>
      <c r="M221" s="10" t="s">
        <v>19</v>
      </c>
      <c r="N221" s="3" t="str" cm="1">
        <f t="array" ref="N221">_xlfn.IFS(
OR(ISNUMBER(SEARCH("email",D221)),ISNUMBER(SEARCH("email",F221)),ISNUMBER(SEARCH("polish",D221)),ISNUMBER(SEARCH("rewrite",F221)),ISNUMBER(SEARCH("copy",F221))),"Writing and comms",
OR(ISNUMBER(SEARCH("research",F221)),ISNUMBER(SEARCH("intel",F221)),ISNUMBER(SEARCH("company",D221)),ISNUMBER(SEARCH("digger",D221))),"Research and intel",
OR(ISNUMBER(SEARCH("prompt",D221)),ISNUMBER(SEARCH("prompt",F221))),"Prompting help",
OR(ISNUMBER(SEARCH("role",D221)),ISNUMBER(SEARCH("scorecard",F221)),ISNUMBER(SEARCH("competenc",F221))),"Role and leadership advisory",
OR(ISNUMBER(SEARCH("meeting",F221)),ISNUMBER(SEARCH("notes",F221)),ISNUMBER(SEARCH("summary",F221))),"Meeting notes and summarization",
TRUE,"Other or fragmented"
)</f>
        <v>Writing and comms</v>
      </c>
      <c r="O221" s="3" t="s">
        <v>23</v>
      </c>
      <c r="P221" s="3"/>
    </row>
    <row r="222" spans="1:16" x14ac:dyDescent="0.25">
      <c r="A222" t="s">
        <v>15</v>
      </c>
      <c r="B222" s="1">
        <v>45992</v>
      </c>
      <c r="C222" s="1">
        <v>46022</v>
      </c>
      <c r="D222" t="s">
        <v>342</v>
      </c>
      <c r="E222" t="s">
        <v>24</v>
      </c>
      <c r="F222" t="s">
        <v>343</v>
      </c>
      <c r="G222">
        <v>1</v>
      </c>
      <c r="H222" s="1">
        <v>46002</v>
      </c>
      <c r="I222" s="1">
        <v>46010</v>
      </c>
      <c r="J222">
        <v>6</v>
      </c>
      <c r="K222">
        <v>1</v>
      </c>
      <c r="L222" t="s">
        <v>341</v>
      </c>
      <c r="M222" s="9" t="s">
        <v>19</v>
      </c>
      <c r="N222" s="3" t="str" cm="1">
        <f t="array" ref="N222">_xlfn.IFS(
OR(ISNUMBER(SEARCH("email",D222)),ISNUMBER(SEARCH("email",F222)),ISNUMBER(SEARCH("polish",D222)),ISNUMBER(SEARCH("rewrite",F222)),ISNUMBER(SEARCH("copy",F222))),"Writing and comms",
OR(ISNUMBER(SEARCH("research",F222)),ISNUMBER(SEARCH("intel",F222)),ISNUMBER(SEARCH("company",D222)),ISNUMBER(SEARCH("digger",D222))),"Research and intel",
OR(ISNUMBER(SEARCH("prompt",D222)),ISNUMBER(SEARCH("prompt",F222))),"Prompting help",
OR(ISNUMBER(SEARCH("role",D222)),ISNUMBER(SEARCH("scorecard",F222)),ISNUMBER(SEARCH("competenc",F222))),"Role and leadership advisory",
OR(ISNUMBER(SEARCH("meeting",F222)),ISNUMBER(SEARCH("notes",F222)),ISNUMBER(SEARCH("summary",F222))),"Meeting notes and summarization",
TRUE,"Other or fragmented"
)</f>
        <v>Other or fragmented</v>
      </c>
      <c r="O222" s="3" t="s">
        <v>23</v>
      </c>
      <c r="P222" s="3"/>
    </row>
    <row r="223" spans="1:16" x14ac:dyDescent="0.25">
      <c r="A223" t="s">
        <v>15</v>
      </c>
      <c r="B223" s="1">
        <v>45992</v>
      </c>
      <c r="C223" s="1">
        <v>46022</v>
      </c>
      <c r="D223" t="s">
        <v>344</v>
      </c>
      <c r="E223" t="s">
        <v>24</v>
      </c>
      <c r="F223" t="s">
        <v>345</v>
      </c>
      <c r="G223">
        <v>1</v>
      </c>
      <c r="H223" s="1">
        <v>45994</v>
      </c>
      <c r="I223" s="1">
        <v>45994</v>
      </c>
      <c r="J223">
        <v>9</v>
      </c>
      <c r="K223">
        <v>1</v>
      </c>
      <c r="L223" t="s">
        <v>341</v>
      </c>
      <c r="M223" s="10" t="s">
        <v>19</v>
      </c>
      <c r="N223" s="3" t="str" cm="1">
        <f t="array" ref="N223">_xlfn.IFS(
OR(ISNUMBER(SEARCH("email",D223)),ISNUMBER(SEARCH("email",F223)),ISNUMBER(SEARCH("polish",D223)),ISNUMBER(SEARCH("rewrite",F223)),ISNUMBER(SEARCH("copy",F223))),"Writing and comms",
OR(ISNUMBER(SEARCH("research",F223)),ISNUMBER(SEARCH("intel",F223)),ISNUMBER(SEARCH("company",D223)),ISNUMBER(SEARCH("digger",D223))),"Research and intel",
OR(ISNUMBER(SEARCH("prompt",D223)),ISNUMBER(SEARCH("prompt",F223))),"Prompting help",
OR(ISNUMBER(SEARCH("role",D223)),ISNUMBER(SEARCH("scorecard",F223)),ISNUMBER(SEARCH("competenc",F223))),"Role and leadership advisory",
OR(ISNUMBER(SEARCH("meeting",F223)),ISNUMBER(SEARCH("notes",F223)),ISNUMBER(SEARCH("summary",F223))),"Meeting notes and summarization",
TRUE,"Other or fragmented"
)</f>
        <v>Other or fragmented</v>
      </c>
      <c r="O223" s="3" t="s">
        <v>23</v>
      </c>
      <c r="P223" s="3"/>
    </row>
    <row r="224" spans="1:16" x14ac:dyDescent="0.25">
      <c r="A224" t="s">
        <v>15</v>
      </c>
      <c r="B224" s="1">
        <v>45992</v>
      </c>
      <c r="C224" s="1">
        <v>46022</v>
      </c>
      <c r="D224" t="s">
        <v>346</v>
      </c>
      <c r="E224" t="s">
        <v>24</v>
      </c>
      <c r="F224" t="s">
        <v>347</v>
      </c>
      <c r="G224">
        <v>1</v>
      </c>
      <c r="H224" s="1">
        <v>45995</v>
      </c>
      <c r="I224" s="1">
        <v>46010</v>
      </c>
      <c r="J224">
        <v>154</v>
      </c>
      <c r="K224">
        <v>1</v>
      </c>
      <c r="L224" t="s">
        <v>341</v>
      </c>
      <c r="M224" s="9" t="s">
        <v>19</v>
      </c>
      <c r="N224" s="3" t="str" cm="1">
        <f t="array" ref="N224">_xlfn.IFS(
OR(ISNUMBER(SEARCH("email",D224)),ISNUMBER(SEARCH("email",F224)),ISNUMBER(SEARCH("polish",D224)),ISNUMBER(SEARCH("rewrite",F224)),ISNUMBER(SEARCH("copy",F224))),"Writing and comms",
OR(ISNUMBER(SEARCH("research",F224)),ISNUMBER(SEARCH("intel",F224)),ISNUMBER(SEARCH("company",D224)),ISNUMBER(SEARCH("digger",D224))),"Research and intel",
OR(ISNUMBER(SEARCH("prompt",D224)),ISNUMBER(SEARCH("prompt",F224))),"Prompting help",
OR(ISNUMBER(SEARCH("role",D224)),ISNUMBER(SEARCH("scorecard",F224)),ISNUMBER(SEARCH("competenc",F224))),"Role and leadership advisory",
OR(ISNUMBER(SEARCH("meeting",F224)),ISNUMBER(SEARCH("notes",F224)),ISNUMBER(SEARCH("summary",F224))),"Meeting notes and summarization",
TRUE,"Other or fragmented"
)</f>
        <v>Other or fragmented</v>
      </c>
      <c r="O224" s="3" t="s">
        <v>23</v>
      </c>
      <c r="P224" s="3"/>
    </row>
    <row r="225" spans="1:16" x14ac:dyDescent="0.25">
      <c r="A225" t="s">
        <v>15</v>
      </c>
      <c r="B225" s="1">
        <v>45992</v>
      </c>
      <c r="C225" s="1">
        <v>46022</v>
      </c>
      <c r="D225" t="s">
        <v>348</v>
      </c>
      <c r="E225" t="s">
        <v>24</v>
      </c>
      <c r="F225" t="s">
        <v>349</v>
      </c>
      <c r="G225">
        <v>0</v>
      </c>
      <c r="J225">
        <v>0</v>
      </c>
      <c r="K225">
        <v>0</v>
      </c>
      <c r="L225" t="s">
        <v>341</v>
      </c>
      <c r="M225" s="10" t="s">
        <v>19</v>
      </c>
      <c r="N225" s="3" t="str" cm="1">
        <f t="array" ref="N225">_xlfn.IFS(
OR(ISNUMBER(SEARCH("email",D225)),ISNUMBER(SEARCH("email",F225)),ISNUMBER(SEARCH("polish",D225)),ISNUMBER(SEARCH("rewrite",F225)),ISNUMBER(SEARCH("copy",F225))),"Writing and comms",
OR(ISNUMBER(SEARCH("research",F225)),ISNUMBER(SEARCH("intel",F225)),ISNUMBER(SEARCH("company",D225)),ISNUMBER(SEARCH("digger",D225))),"Research and intel",
OR(ISNUMBER(SEARCH("prompt",D225)),ISNUMBER(SEARCH("prompt",F225))),"Prompting help",
OR(ISNUMBER(SEARCH("role",D225)),ISNUMBER(SEARCH("scorecard",F225)),ISNUMBER(SEARCH("competenc",F225))),"Role and leadership advisory",
OR(ISNUMBER(SEARCH("meeting",F225)),ISNUMBER(SEARCH("notes",F225)),ISNUMBER(SEARCH("summary",F225))),"Meeting notes and summarization",
TRUE,"Other or fragmented"
)</f>
        <v>Other or fragmented</v>
      </c>
      <c r="O225" s="3" t="s">
        <v>23</v>
      </c>
      <c r="P225" s="3"/>
    </row>
    <row r="226" spans="1:16" x14ac:dyDescent="0.25">
      <c r="A226" t="s">
        <v>15</v>
      </c>
      <c r="B226" s="1">
        <v>45992</v>
      </c>
      <c r="C226" s="1">
        <v>46022</v>
      </c>
      <c r="E226" t="s">
        <v>24</v>
      </c>
      <c r="F226" t="s">
        <v>350</v>
      </c>
      <c r="G226">
        <v>0</v>
      </c>
      <c r="J226">
        <v>0</v>
      </c>
      <c r="K226">
        <v>0</v>
      </c>
      <c r="L226" t="s">
        <v>341</v>
      </c>
      <c r="M226" s="9" t="s">
        <v>19</v>
      </c>
      <c r="N226" s="3" t="str" cm="1">
        <f t="array" ref="N226">_xlfn.IFS(
OR(ISNUMBER(SEARCH("email",D226)),ISNUMBER(SEARCH("email",F226)),ISNUMBER(SEARCH("polish",D226)),ISNUMBER(SEARCH("rewrite",F226)),ISNUMBER(SEARCH("copy",F226))),"Writing and comms",
OR(ISNUMBER(SEARCH("research",F226)),ISNUMBER(SEARCH("intel",F226)),ISNUMBER(SEARCH("company",D226)),ISNUMBER(SEARCH("digger",D226))),"Research and intel",
OR(ISNUMBER(SEARCH("prompt",D226)),ISNUMBER(SEARCH("prompt",F226))),"Prompting help",
OR(ISNUMBER(SEARCH("role",D226)),ISNUMBER(SEARCH("scorecard",F226)),ISNUMBER(SEARCH("competenc",F226))),"Role and leadership advisory",
OR(ISNUMBER(SEARCH("meeting",F226)),ISNUMBER(SEARCH("notes",F226)),ISNUMBER(SEARCH("summary",F226))),"Meeting notes and summarization",
TRUE,"Other or fragmented"
)</f>
        <v>Other or fragmented</v>
      </c>
      <c r="O226" s="3" t="s">
        <v>23</v>
      </c>
      <c r="P226" s="3"/>
    </row>
    <row r="227" spans="1:16" x14ac:dyDescent="0.25">
      <c r="A227" t="s">
        <v>15</v>
      </c>
      <c r="B227" s="1">
        <v>45992</v>
      </c>
      <c r="C227" s="1">
        <v>46022</v>
      </c>
      <c r="D227" t="s">
        <v>351</v>
      </c>
      <c r="E227" t="s">
        <v>24</v>
      </c>
      <c r="F227" t="s">
        <v>352</v>
      </c>
      <c r="G227">
        <v>0</v>
      </c>
      <c r="J227">
        <v>0</v>
      </c>
      <c r="K227">
        <v>0</v>
      </c>
      <c r="L227" t="s">
        <v>341</v>
      </c>
      <c r="M227" s="10" t="s">
        <v>19</v>
      </c>
      <c r="N227" s="3" t="str" cm="1">
        <f t="array" ref="N227">_xlfn.IFS(
OR(ISNUMBER(SEARCH("email",D227)),ISNUMBER(SEARCH("email",F227)),ISNUMBER(SEARCH("polish",D227)),ISNUMBER(SEARCH("rewrite",F227)),ISNUMBER(SEARCH("copy",F227))),"Writing and comms",
OR(ISNUMBER(SEARCH("research",F227)),ISNUMBER(SEARCH("intel",F227)),ISNUMBER(SEARCH("company",D227)),ISNUMBER(SEARCH("digger",D227))),"Research and intel",
OR(ISNUMBER(SEARCH("prompt",D227)),ISNUMBER(SEARCH("prompt",F227))),"Prompting help",
OR(ISNUMBER(SEARCH("role",D227)),ISNUMBER(SEARCH("scorecard",F227)),ISNUMBER(SEARCH("competenc",F227))),"Role and leadership advisory",
OR(ISNUMBER(SEARCH("meeting",F227)),ISNUMBER(SEARCH("notes",F227)),ISNUMBER(SEARCH("summary",F227))),"Meeting notes and summarization",
TRUE,"Other or fragmented"
)</f>
        <v>Meeting notes and summarization</v>
      </c>
      <c r="O227" s="3" t="s">
        <v>23</v>
      </c>
      <c r="P227" s="3"/>
    </row>
    <row r="228" spans="1:16" x14ac:dyDescent="0.25">
      <c r="A228" t="s">
        <v>15</v>
      </c>
      <c r="B228" s="1">
        <v>45992</v>
      </c>
      <c r="C228" s="1">
        <v>46022</v>
      </c>
      <c r="D228" t="s">
        <v>353</v>
      </c>
      <c r="E228" t="s">
        <v>24</v>
      </c>
      <c r="F228" t="s">
        <v>354</v>
      </c>
      <c r="G228">
        <v>0</v>
      </c>
      <c r="J228">
        <v>0</v>
      </c>
      <c r="K228">
        <v>0</v>
      </c>
      <c r="L228" t="s">
        <v>341</v>
      </c>
      <c r="M228" s="9" t="s">
        <v>19</v>
      </c>
      <c r="N228" s="3" t="str" cm="1">
        <f t="array" ref="N228">_xlfn.IFS(
OR(ISNUMBER(SEARCH("email",D228)),ISNUMBER(SEARCH("email",F228)),ISNUMBER(SEARCH("polish",D228)),ISNUMBER(SEARCH("rewrite",F228)),ISNUMBER(SEARCH("copy",F228))),"Writing and comms",
OR(ISNUMBER(SEARCH("research",F228)),ISNUMBER(SEARCH("intel",F228)),ISNUMBER(SEARCH("company",D228)),ISNUMBER(SEARCH("digger",D228))),"Research and intel",
OR(ISNUMBER(SEARCH("prompt",D228)),ISNUMBER(SEARCH("prompt",F228))),"Prompting help",
OR(ISNUMBER(SEARCH("role",D228)),ISNUMBER(SEARCH("scorecard",F228)),ISNUMBER(SEARCH("competenc",F228))),"Role and leadership advisory",
OR(ISNUMBER(SEARCH("meeting",F228)),ISNUMBER(SEARCH("notes",F228)),ISNUMBER(SEARCH("summary",F228))),"Meeting notes and summarization",
TRUE,"Other or fragmented"
)</f>
        <v>Other or fragmented</v>
      </c>
      <c r="O228" s="3" t="s">
        <v>23</v>
      </c>
      <c r="P228" s="3"/>
    </row>
    <row r="229" spans="1:16" x14ac:dyDescent="0.25">
      <c r="A229" t="s">
        <v>15</v>
      </c>
      <c r="B229" s="1">
        <v>45992</v>
      </c>
      <c r="C229" s="1">
        <v>46022</v>
      </c>
      <c r="D229" t="s">
        <v>345</v>
      </c>
      <c r="E229" t="s">
        <v>24</v>
      </c>
      <c r="F229" t="s">
        <v>355</v>
      </c>
      <c r="G229">
        <v>0</v>
      </c>
      <c r="J229">
        <v>0</v>
      </c>
      <c r="K229">
        <v>0</v>
      </c>
      <c r="L229" t="s">
        <v>341</v>
      </c>
      <c r="M229" s="10" t="s">
        <v>19</v>
      </c>
      <c r="N229" s="3" t="str" cm="1">
        <f t="array" ref="N229">_xlfn.IFS(
OR(ISNUMBER(SEARCH("email",D229)),ISNUMBER(SEARCH("email",F229)),ISNUMBER(SEARCH("polish",D229)),ISNUMBER(SEARCH("rewrite",F229)),ISNUMBER(SEARCH("copy",F229))),"Writing and comms",
OR(ISNUMBER(SEARCH("research",F229)),ISNUMBER(SEARCH("intel",F229)),ISNUMBER(SEARCH("company",D229)),ISNUMBER(SEARCH("digger",D229))),"Research and intel",
OR(ISNUMBER(SEARCH("prompt",D229)),ISNUMBER(SEARCH("prompt",F229))),"Prompting help",
OR(ISNUMBER(SEARCH("role",D229)),ISNUMBER(SEARCH("scorecard",F229)),ISNUMBER(SEARCH("competenc",F229))),"Role and leadership advisory",
OR(ISNUMBER(SEARCH("meeting",F229)),ISNUMBER(SEARCH("notes",F229)),ISNUMBER(SEARCH("summary",F229))),"Meeting notes and summarization",
TRUE,"Other or fragmented"
)</f>
        <v>Other or fragmented</v>
      </c>
      <c r="O229" s="3" t="s">
        <v>23</v>
      </c>
      <c r="P229" s="3"/>
    </row>
    <row r="230" spans="1:16" x14ac:dyDescent="0.25">
      <c r="A230" t="s">
        <v>15</v>
      </c>
      <c r="B230" s="1">
        <v>45992</v>
      </c>
      <c r="C230" s="1">
        <v>46022</v>
      </c>
      <c r="D230" t="s">
        <v>356</v>
      </c>
      <c r="E230" t="s">
        <v>24</v>
      </c>
      <c r="F230" t="s">
        <v>357</v>
      </c>
      <c r="G230">
        <v>0</v>
      </c>
      <c r="J230">
        <v>0</v>
      </c>
      <c r="K230">
        <v>0</v>
      </c>
      <c r="L230" t="s">
        <v>341</v>
      </c>
      <c r="M230" s="9" t="s">
        <v>19</v>
      </c>
      <c r="N230" s="3" t="str" cm="1">
        <f t="array" ref="N230">_xlfn.IFS(
OR(ISNUMBER(SEARCH("email",D230)),ISNUMBER(SEARCH("email",F230)),ISNUMBER(SEARCH("polish",D230)),ISNUMBER(SEARCH("rewrite",F230)),ISNUMBER(SEARCH("copy",F230))),"Writing and comms",
OR(ISNUMBER(SEARCH("research",F230)),ISNUMBER(SEARCH("intel",F230)),ISNUMBER(SEARCH("company",D230)),ISNUMBER(SEARCH("digger",D230))),"Research and intel",
OR(ISNUMBER(SEARCH("prompt",D230)),ISNUMBER(SEARCH("prompt",F230))),"Prompting help",
OR(ISNUMBER(SEARCH("role",D230)),ISNUMBER(SEARCH("scorecard",F230)),ISNUMBER(SEARCH("competenc",F230))),"Role and leadership advisory",
OR(ISNUMBER(SEARCH("meeting",F230)),ISNUMBER(SEARCH("notes",F230)),ISNUMBER(SEARCH("summary",F230))),"Meeting notes and summarization",
TRUE,"Other or fragmented"
)</f>
        <v>Other or fragmented</v>
      </c>
      <c r="O230" s="3" t="s">
        <v>23</v>
      </c>
      <c r="P230" s="3"/>
    </row>
    <row r="231" spans="1:16" x14ac:dyDescent="0.25">
      <c r="A231" t="s">
        <v>15</v>
      </c>
      <c r="B231" s="1">
        <v>45992</v>
      </c>
      <c r="C231" s="1">
        <v>46022</v>
      </c>
      <c r="D231" t="s">
        <v>358</v>
      </c>
      <c r="E231" t="s">
        <v>17</v>
      </c>
      <c r="F231" t="s">
        <v>359</v>
      </c>
      <c r="G231">
        <v>0</v>
      </c>
      <c r="J231">
        <v>0</v>
      </c>
      <c r="K231">
        <v>0</v>
      </c>
      <c r="L231" t="s">
        <v>360</v>
      </c>
      <c r="M231" s="10" t="s">
        <v>19</v>
      </c>
      <c r="N231" s="3" t="str" cm="1">
        <f t="array" ref="N231">_xlfn.IFS(
OR(ISNUMBER(SEARCH("email",D231)),ISNUMBER(SEARCH("email",F231)),ISNUMBER(SEARCH("polish",D231)),ISNUMBER(SEARCH("rewrite",F231)),ISNUMBER(SEARCH("copy",F231))),"Writing and comms",
OR(ISNUMBER(SEARCH("research",F231)),ISNUMBER(SEARCH("intel",F231)),ISNUMBER(SEARCH("company",D231)),ISNUMBER(SEARCH("digger",D231))),"Research and intel",
OR(ISNUMBER(SEARCH("prompt",D231)),ISNUMBER(SEARCH("prompt",F231))),"Prompting help",
OR(ISNUMBER(SEARCH("role",D231)),ISNUMBER(SEARCH("scorecard",F231)),ISNUMBER(SEARCH("competenc",F231))),"Role and leadership advisory",
OR(ISNUMBER(SEARCH("meeting",F231)),ISNUMBER(SEARCH("notes",F231)),ISNUMBER(SEARCH("summary",F231))),"Meeting notes and summarization",
TRUE,"Other or fragmented"
)</f>
        <v>Other or fragmented</v>
      </c>
      <c r="O231" s="3" t="s">
        <v>23</v>
      </c>
      <c r="P231" s="3"/>
    </row>
    <row r="232" spans="1:16" x14ac:dyDescent="0.25">
      <c r="A232" t="s">
        <v>15</v>
      </c>
      <c r="B232" s="1">
        <v>45992</v>
      </c>
      <c r="C232" s="1">
        <v>46022</v>
      </c>
      <c r="D232" t="s">
        <v>361</v>
      </c>
      <c r="E232" t="s">
        <v>17</v>
      </c>
      <c r="F232" t="s">
        <v>362</v>
      </c>
      <c r="G232">
        <v>1</v>
      </c>
      <c r="H232" s="1">
        <v>46009</v>
      </c>
      <c r="I232" s="1">
        <v>46013</v>
      </c>
      <c r="J232">
        <v>67</v>
      </c>
      <c r="K232">
        <v>4</v>
      </c>
      <c r="L232" t="s">
        <v>363</v>
      </c>
      <c r="M232" s="9" t="s">
        <v>19</v>
      </c>
      <c r="N232" s="3" t="str" cm="1">
        <f t="array" ref="N232">_xlfn.IFS(
OR(ISNUMBER(SEARCH("email",D232)),ISNUMBER(SEARCH("email",F232)),ISNUMBER(SEARCH("polish",D232)),ISNUMBER(SEARCH("rewrite",F232)),ISNUMBER(SEARCH("copy",F232))),"Writing and comms",
OR(ISNUMBER(SEARCH("research",F232)),ISNUMBER(SEARCH("intel",F232)),ISNUMBER(SEARCH("company",D232)),ISNUMBER(SEARCH("digger",D232))),"Research and intel",
OR(ISNUMBER(SEARCH("prompt",D232)),ISNUMBER(SEARCH("prompt",F232))),"Prompting help",
OR(ISNUMBER(SEARCH("role",D232)),ISNUMBER(SEARCH("scorecard",F232)),ISNUMBER(SEARCH("competenc",F232))),"Role and leadership advisory",
OR(ISNUMBER(SEARCH("meeting",F232)),ISNUMBER(SEARCH("notes",F232)),ISNUMBER(SEARCH("summary",F232))),"Meeting notes and summarization",
TRUE,"Other or fragmented"
)</f>
        <v>Other or fragmented</v>
      </c>
      <c r="O232" s="3" t="s">
        <v>23</v>
      </c>
      <c r="P232" s="3"/>
    </row>
    <row r="233" spans="1:16" x14ac:dyDescent="0.25">
      <c r="A233" t="s">
        <v>15</v>
      </c>
      <c r="B233" s="1">
        <v>45992</v>
      </c>
      <c r="C233" s="1">
        <v>46022</v>
      </c>
      <c r="E233" t="s">
        <v>24</v>
      </c>
      <c r="G233">
        <v>0</v>
      </c>
      <c r="J233">
        <v>0</v>
      </c>
      <c r="K233">
        <v>0</v>
      </c>
      <c r="L233" t="s">
        <v>363</v>
      </c>
      <c r="M233" s="10" t="s">
        <v>19</v>
      </c>
      <c r="N233" s="3" t="str" cm="1">
        <f t="array" ref="N233">_xlfn.IFS(
OR(ISNUMBER(SEARCH("email",D233)),ISNUMBER(SEARCH("email",F233)),ISNUMBER(SEARCH("polish",D233)),ISNUMBER(SEARCH("rewrite",F233)),ISNUMBER(SEARCH("copy",F233))),"Writing and comms",
OR(ISNUMBER(SEARCH("research",F233)),ISNUMBER(SEARCH("intel",F233)),ISNUMBER(SEARCH("company",D233)),ISNUMBER(SEARCH("digger",D233))),"Research and intel",
OR(ISNUMBER(SEARCH("prompt",D233)),ISNUMBER(SEARCH("prompt",F233))),"Prompting help",
OR(ISNUMBER(SEARCH("role",D233)),ISNUMBER(SEARCH("scorecard",F233)),ISNUMBER(SEARCH("competenc",F233))),"Role and leadership advisory",
OR(ISNUMBER(SEARCH("meeting",F233)),ISNUMBER(SEARCH("notes",F233)),ISNUMBER(SEARCH("summary",F233))),"Meeting notes and summarization",
TRUE,"Other or fragmented"
)</f>
        <v>Other or fragmented</v>
      </c>
      <c r="O233" s="3" t="s">
        <v>23</v>
      </c>
      <c r="P233" s="3"/>
    </row>
    <row r="234" spans="1:16" x14ac:dyDescent="0.25">
      <c r="A234" t="s">
        <v>15</v>
      </c>
      <c r="B234" s="1">
        <v>45992</v>
      </c>
      <c r="C234" s="1">
        <v>46022</v>
      </c>
      <c r="E234" t="s">
        <v>24</v>
      </c>
      <c r="G234">
        <v>0</v>
      </c>
      <c r="J234">
        <v>0</v>
      </c>
      <c r="K234">
        <v>0</v>
      </c>
      <c r="L234" t="s">
        <v>364</v>
      </c>
      <c r="M234" s="9" t="s">
        <v>19</v>
      </c>
      <c r="N234" s="3" t="str" cm="1">
        <f t="array" ref="N234">_xlfn.IFS(
OR(ISNUMBER(SEARCH("email",D234)),ISNUMBER(SEARCH("email",F234)),ISNUMBER(SEARCH("polish",D234)),ISNUMBER(SEARCH("rewrite",F234)),ISNUMBER(SEARCH("copy",F234))),"Writing and comms",
OR(ISNUMBER(SEARCH("research",F234)),ISNUMBER(SEARCH("intel",F234)),ISNUMBER(SEARCH("company",D234)),ISNUMBER(SEARCH("digger",D234))),"Research and intel",
OR(ISNUMBER(SEARCH("prompt",D234)),ISNUMBER(SEARCH("prompt",F234))),"Prompting help",
OR(ISNUMBER(SEARCH("role",D234)),ISNUMBER(SEARCH("scorecard",F234)),ISNUMBER(SEARCH("competenc",F234))),"Role and leadership advisory",
OR(ISNUMBER(SEARCH("meeting",F234)),ISNUMBER(SEARCH("notes",F234)),ISNUMBER(SEARCH("summary",F234))),"Meeting notes and summarization",
TRUE,"Other or fragmented"
)</f>
        <v>Other or fragmented</v>
      </c>
      <c r="O234" s="3" t="s">
        <v>23</v>
      </c>
      <c r="P234" s="3"/>
    </row>
    <row r="235" spans="1:16" x14ac:dyDescent="0.25">
      <c r="A235" t="s">
        <v>15</v>
      </c>
      <c r="B235" s="1">
        <v>45992</v>
      </c>
      <c r="C235" s="1">
        <v>46022</v>
      </c>
      <c r="D235" t="s">
        <v>365</v>
      </c>
      <c r="E235" t="s">
        <v>17</v>
      </c>
      <c r="F235" t="s">
        <v>366</v>
      </c>
      <c r="G235">
        <v>1</v>
      </c>
      <c r="H235" s="1">
        <v>46001</v>
      </c>
      <c r="I235" s="1">
        <v>46010</v>
      </c>
      <c r="J235">
        <v>36</v>
      </c>
      <c r="K235">
        <v>1</v>
      </c>
      <c r="L235" t="s">
        <v>367</v>
      </c>
      <c r="M235" s="10" t="s">
        <v>19</v>
      </c>
      <c r="N235" s="3" t="str" cm="1">
        <f t="array" ref="N235">_xlfn.IFS(
OR(ISNUMBER(SEARCH("email",D235)),ISNUMBER(SEARCH("email",F235)),ISNUMBER(SEARCH("polish",D235)),ISNUMBER(SEARCH("rewrite",F235)),ISNUMBER(SEARCH("copy",F235))),"Writing and comms",
OR(ISNUMBER(SEARCH("research",F235)),ISNUMBER(SEARCH("intel",F235)),ISNUMBER(SEARCH("company",D235)),ISNUMBER(SEARCH("digger",D235))),"Research and intel",
OR(ISNUMBER(SEARCH("prompt",D235)),ISNUMBER(SEARCH("prompt",F235))),"Prompting help",
OR(ISNUMBER(SEARCH("role",D235)),ISNUMBER(SEARCH("scorecard",F235)),ISNUMBER(SEARCH("competenc",F235))),"Role and leadership advisory",
OR(ISNUMBER(SEARCH("meeting",F235)),ISNUMBER(SEARCH("notes",F235)),ISNUMBER(SEARCH("summary",F235))),"Meeting notes and summarization",
TRUE,"Other or fragmented"
)</f>
        <v>Other or fragmented</v>
      </c>
      <c r="O235" s="3" t="s">
        <v>23</v>
      </c>
      <c r="P235" s="3"/>
    </row>
    <row r="236" spans="1:16" x14ac:dyDescent="0.25">
      <c r="A236" t="s">
        <v>15</v>
      </c>
      <c r="B236" s="1">
        <v>45992</v>
      </c>
      <c r="C236" s="1">
        <v>46022</v>
      </c>
      <c r="D236" t="s">
        <v>368</v>
      </c>
      <c r="E236" t="s">
        <v>17</v>
      </c>
      <c r="F236" t="s">
        <v>369</v>
      </c>
      <c r="G236">
        <v>1</v>
      </c>
      <c r="H236" s="1">
        <v>45993</v>
      </c>
      <c r="I236" s="1">
        <v>46013</v>
      </c>
      <c r="J236">
        <v>43</v>
      </c>
      <c r="K236">
        <v>1</v>
      </c>
      <c r="L236" t="s">
        <v>367</v>
      </c>
      <c r="M236" s="9" t="s">
        <v>19</v>
      </c>
      <c r="N236" s="3" t="str" cm="1">
        <f t="array" ref="N236">_xlfn.IFS(
OR(ISNUMBER(SEARCH("email",D236)),ISNUMBER(SEARCH("email",F236)),ISNUMBER(SEARCH("polish",D236)),ISNUMBER(SEARCH("rewrite",F236)),ISNUMBER(SEARCH("copy",F236))),"Writing and comms",
OR(ISNUMBER(SEARCH("research",F236)),ISNUMBER(SEARCH("intel",F236)),ISNUMBER(SEARCH("company",D236)),ISNUMBER(SEARCH("digger",D236))),"Research and intel",
OR(ISNUMBER(SEARCH("prompt",D236)),ISNUMBER(SEARCH("prompt",F236))),"Prompting help",
OR(ISNUMBER(SEARCH("role",D236)),ISNUMBER(SEARCH("scorecard",F236)),ISNUMBER(SEARCH("competenc",F236))),"Role and leadership advisory",
OR(ISNUMBER(SEARCH("meeting",F236)),ISNUMBER(SEARCH("notes",F236)),ISNUMBER(SEARCH("summary",F236))),"Meeting notes and summarization",
TRUE,"Other or fragmented"
)</f>
        <v>Other or fragmented</v>
      </c>
      <c r="O236" s="3" t="s">
        <v>23</v>
      </c>
      <c r="P236" s="3"/>
    </row>
    <row r="237" spans="1:16" x14ac:dyDescent="0.25">
      <c r="A237" t="s">
        <v>15</v>
      </c>
      <c r="B237" s="1">
        <v>45992</v>
      </c>
      <c r="C237" s="1">
        <v>46022</v>
      </c>
      <c r="D237" t="s">
        <v>370</v>
      </c>
      <c r="E237" t="s">
        <v>17</v>
      </c>
      <c r="F237" t="s">
        <v>371</v>
      </c>
      <c r="G237">
        <v>1</v>
      </c>
      <c r="H237" s="1">
        <v>45992</v>
      </c>
      <c r="I237" s="1">
        <v>46001</v>
      </c>
      <c r="J237">
        <v>45</v>
      </c>
      <c r="K237">
        <v>1</v>
      </c>
      <c r="L237" t="s">
        <v>367</v>
      </c>
      <c r="M237" s="10" t="s">
        <v>19</v>
      </c>
      <c r="N237" s="3" t="str" cm="1">
        <f t="array" ref="N237">_xlfn.IFS(
OR(ISNUMBER(SEARCH("email",D237)),ISNUMBER(SEARCH("email",F237)),ISNUMBER(SEARCH("polish",D237)),ISNUMBER(SEARCH("rewrite",F237)),ISNUMBER(SEARCH("copy",F237))),"Writing and comms",
OR(ISNUMBER(SEARCH("research",F237)),ISNUMBER(SEARCH("intel",F237)),ISNUMBER(SEARCH("company",D237)),ISNUMBER(SEARCH("digger",D237))),"Research and intel",
OR(ISNUMBER(SEARCH("prompt",D237)),ISNUMBER(SEARCH("prompt",F237))),"Prompting help",
OR(ISNUMBER(SEARCH("role",D237)),ISNUMBER(SEARCH("scorecard",F237)),ISNUMBER(SEARCH("competenc",F237))),"Role and leadership advisory",
OR(ISNUMBER(SEARCH("meeting",F237)),ISNUMBER(SEARCH("notes",F237)),ISNUMBER(SEARCH("summary",F237))),"Meeting notes and summarization",
TRUE,"Other or fragmented"
)</f>
        <v>Other or fragmented</v>
      </c>
      <c r="O237" s="3" t="s">
        <v>23</v>
      </c>
      <c r="P237" s="3"/>
    </row>
    <row r="238" spans="1:16" x14ac:dyDescent="0.25">
      <c r="A238" t="s">
        <v>15</v>
      </c>
      <c r="B238" s="1">
        <v>45992</v>
      </c>
      <c r="C238" s="1">
        <v>46022</v>
      </c>
      <c r="E238" t="s">
        <v>24</v>
      </c>
      <c r="G238">
        <v>0</v>
      </c>
      <c r="J238">
        <v>0</v>
      </c>
      <c r="K238">
        <v>0</v>
      </c>
      <c r="L238" t="s">
        <v>372</v>
      </c>
      <c r="M238" s="9" t="s">
        <v>19</v>
      </c>
      <c r="N238" s="3" t="str" cm="1">
        <f t="array" ref="N238">_xlfn.IFS(
OR(ISNUMBER(SEARCH("email",D238)),ISNUMBER(SEARCH("email",F238)),ISNUMBER(SEARCH("polish",D238)),ISNUMBER(SEARCH("rewrite",F238)),ISNUMBER(SEARCH("copy",F238))),"Writing and comms",
OR(ISNUMBER(SEARCH("research",F238)),ISNUMBER(SEARCH("intel",F238)),ISNUMBER(SEARCH("company",D238)),ISNUMBER(SEARCH("digger",D238))),"Research and intel",
OR(ISNUMBER(SEARCH("prompt",D238)),ISNUMBER(SEARCH("prompt",F238))),"Prompting help",
OR(ISNUMBER(SEARCH("role",D238)),ISNUMBER(SEARCH("scorecard",F238)),ISNUMBER(SEARCH("competenc",F238))),"Role and leadership advisory",
OR(ISNUMBER(SEARCH("meeting",F238)),ISNUMBER(SEARCH("notes",F238)),ISNUMBER(SEARCH("summary",F238))),"Meeting notes and summarization",
TRUE,"Other or fragmented"
)</f>
        <v>Other or fragmented</v>
      </c>
      <c r="O238" s="3" t="s">
        <v>23</v>
      </c>
      <c r="P238" s="3"/>
    </row>
    <row r="239" spans="1:16" x14ac:dyDescent="0.25">
      <c r="A239" t="s">
        <v>15</v>
      </c>
      <c r="B239" s="1">
        <v>45992</v>
      </c>
      <c r="C239" s="1">
        <v>46022</v>
      </c>
      <c r="E239" t="s">
        <v>24</v>
      </c>
      <c r="G239">
        <v>0</v>
      </c>
      <c r="J239">
        <v>0</v>
      </c>
      <c r="K239">
        <v>0</v>
      </c>
      <c r="L239" t="s">
        <v>373</v>
      </c>
      <c r="M239" s="10" t="s">
        <v>19</v>
      </c>
      <c r="N239" s="3" t="str" cm="1">
        <f t="array" ref="N239">_xlfn.IFS(
OR(ISNUMBER(SEARCH("email",D239)),ISNUMBER(SEARCH("email",F239)),ISNUMBER(SEARCH("polish",D239)),ISNUMBER(SEARCH("rewrite",F239)),ISNUMBER(SEARCH("copy",F239))),"Writing and comms",
OR(ISNUMBER(SEARCH("research",F239)),ISNUMBER(SEARCH("intel",F239)),ISNUMBER(SEARCH("company",D239)),ISNUMBER(SEARCH("digger",D239))),"Research and intel",
OR(ISNUMBER(SEARCH("prompt",D239)),ISNUMBER(SEARCH("prompt",F239))),"Prompting help",
OR(ISNUMBER(SEARCH("role",D239)),ISNUMBER(SEARCH("scorecard",F239)),ISNUMBER(SEARCH("competenc",F239))),"Role and leadership advisory",
OR(ISNUMBER(SEARCH("meeting",F239)),ISNUMBER(SEARCH("notes",F239)),ISNUMBER(SEARCH("summary",F239))),"Meeting notes and summarization",
TRUE,"Other or fragmented"
)</f>
        <v>Other or fragmented</v>
      </c>
      <c r="O239" s="3" t="s">
        <v>23</v>
      </c>
      <c r="P239" s="3"/>
    </row>
    <row r="240" spans="1:16" x14ac:dyDescent="0.25">
      <c r="A240" t="s">
        <v>15</v>
      </c>
      <c r="B240" s="1">
        <v>45992</v>
      </c>
      <c r="C240" s="1">
        <v>46022</v>
      </c>
      <c r="E240" t="s">
        <v>24</v>
      </c>
      <c r="G240">
        <v>0</v>
      </c>
      <c r="J240">
        <v>0</v>
      </c>
      <c r="K240">
        <v>0</v>
      </c>
      <c r="L240" t="s">
        <v>373</v>
      </c>
      <c r="M240" s="9" t="s">
        <v>19</v>
      </c>
      <c r="N240" s="3" t="str" cm="1">
        <f t="array" ref="N240">_xlfn.IFS(
OR(ISNUMBER(SEARCH("email",D240)),ISNUMBER(SEARCH("email",F240)),ISNUMBER(SEARCH("polish",D240)),ISNUMBER(SEARCH("rewrite",F240)),ISNUMBER(SEARCH("copy",F240))),"Writing and comms",
OR(ISNUMBER(SEARCH("research",F240)),ISNUMBER(SEARCH("intel",F240)),ISNUMBER(SEARCH("company",D240)),ISNUMBER(SEARCH("digger",D240))),"Research and intel",
OR(ISNUMBER(SEARCH("prompt",D240)),ISNUMBER(SEARCH("prompt",F240))),"Prompting help",
OR(ISNUMBER(SEARCH("role",D240)),ISNUMBER(SEARCH("scorecard",F240)),ISNUMBER(SEARCH("competenc",F240))),"Role and leadership advisory",
OR(ISNUMBER(SEARCH("meeting",F240)),ISNUMBER(SEARCH("notes",F240)),ISNUMBER(SEARCH("summary",F240))),"Meeting notes and summarization",
TRUE,"Other or fragmented"
)</f>
        <v>Other or fragmented</v>
      </c>
      <c r="O240" s="3" t="s">
        <v>23</v>
      </c>
      <c r="P240" s="3"/>
    </row>
    <row r="241" spans="1:16" x14ac:dyDescent="0.25">
      <c r="A241" t="s">
        <v>15</v>
      </c>
      <c r="B241" s="1">
        <v>45992</v>
      </c>
      <c r="C241" s="1">
        <v>46022</v>
      </c>
      <c r="E241" t="s">
        <v>24</v>
      </c>
      <c r="G241">
        <v>0</v>
      </c>
      <c r="J241">
        <v>0</v>
      </c>
      <c r="K241">
        <v>0</v>
      </c>
      <c r="L241" t="s">
        <v>374</v>
      </c>
      <c r="M241" s="10" t="s">
        <v>19</v>
      </c>
      <c r="N241" s="3" t="str" cm="1">
        <f t="array" ref="N241">_xlfn.IFS(
OR(ISNUMBER(SEARCH("email",D241)),ISNUMBER(SEARCH("email",F241)),ISNUMBER(SEARCH("polish",D241)),ISNUMBER(SEARCH("rewrite",F241)),ISNUMBER(SEARCH("copy",F241))),"Writing and comms",
OR(ISNUMBER(SEARCH("research",F241)),ISNUMBER(SEARCH("intel",F241)),ISNUMBER(SEARCH("company",D241)),ISNUMBER(SEARCH("digger",D241))),"Research and intel",
OR(ISNUMBER(SEARCH("prompt",D241)),ISNUMBER(SEARCH("prompt",F241))),"Prompting help",
OR(ISNUMBER(SEARCH("role",D241)),ISNUMBER(SEARCH("scorecard",F241)),ISNUMBER(SEARCH("competenc",F241))),"Role and leadership advisory",
OR(ISNUMBER(SEARCH("meeting",F241)),ISNUMBER(SEARCH("notes",F241)),ISNUMBER(SEARCH("summary",F241))),"Meeting notes and summarization",
TRUE,"Other or fragmented"
)</f>
        <v>Other or fragmented</v>
      </c>
      <c r="O241" s="3" t="s">
        <v>23</v>
      </c>
      <c r="P241" s="3"/>
    </row>
    <row r="242" spans="1:16" x14ac:dyDescent="0.25">
      <c r="A242" t="s">
        <v>15</v>
      </c>
      <c r="B242" s="1">
        <v>45992</v>
      </c>
      <c r="C242" s="1">
        <v>46022</v>
      </c>
      <c r="E242" t="s">
        <v>24</v>
      </c>
      <c r="G242">
        <v>0</v>
      </c>
      <c r="J242">
        <v>0</v>
      </c>
      <c r="K242">
        <v>0</v>
      </c>
      <c r="L242" t="s">
        <v>375</v>
      </c>
      <c r="M242" s="9" t="s">
        <v>19</v>
      </c>
      <c r="N242" s="3" t="str" cm="1">
        <f t="array" ref="N242">_xlfn.IFS(
OR(ISNUMBER(SEARCH("email",D242)),ISNUMBER(SEARCH("email",F242)),ISNUMBER(SEARCH("polish",D242)),ISNUMBER(SEARCH("rewrite",F242)),ISNUMBER(SEARCH("copy",F242))),"Writing and comms",
OR(ISNUMBER(SEARCH("research",F242)),ISNUMBER(SEARCH("intel",F242)),ISNUMBER(SEARCH("company",D242)),ISNUMBER(SEARCH("digger",D242))),"Research and intel",
OR(ISNUMBER(SEARCH("prompt",D242)),ISNUMBER(SEARCH("prompt",F242))),"Prompting help",
OR(ISNUMBER(SEARCH("role",D242)),ISNUMBER(SEARCH("scorecard",F242)),ISNUMBER(SEARCH("competenc",F242))),"Role and leadership advisory",
OR(ISNUMBER(SEARCH("meeting",F242)),ISNUMBER(SEARCH("notes",F242)),ISNUMBER(SEARCH("summary",F242))),"Meeting notes and summarization",
TRUE,"Other or fragmented"
)</f>
        <v>Other or fragmented</v>
      </c>
      <c r="O242" s="3" t="s">
        <v>23</v>
      </c>
      <c r="P242" s="3"/>
    </row>
    <row r="243" spans="1:16" x14ac:dyDescent="0.25">
      <c r="A243" t="s">
        <v>15</v>
      </c>
      <c r="B243" s="1">
        <v>45992</v>
      </c>
      <c r="C243" s="1">
        <v>46022</v>
      </c>
      <c r="D243" t="s">
        <v>376</v>
      </c>
      <c r="E243" t="s">
        <v>17</v>
      </c>
      <c r="F243" t="s">
        <v>377</v>
      </c>
      <c r="G243">
        <v>1</v>
      </c>
      <c r="H243" s="1">
        <v>46015</v>
      </c>
      <c r="I243" s="1">
        <v>46015</v>
      </c>
      <c r="J243">
        <v>12</v>
      </c>
      <c r="K243">
        <v>1</v>
      </c>
      <c r="L243" t="s">
        <v>378</v>
      </c>
      <c r="M243" s="10" t="s">
        <v>19</v>
      </c>
      <c r="N243" s="3" t="str" cm="1">
        <f t="array" ref="N243">_xlfn.IFS(
OR(ISNUMBER(SEARCH("email",D243)),ISNUMBER(SEARCH("email",F243)),ISNUMBER(SEARCH("polish",D243)),ISNUMBER(SEARCH("rewrite",F243)),ISNUMBER(SEARCH("copy",F243))),"Writing and comms",
OR(ISNUMBER(SEARCH("research",F243)),ISNUMBER(SEARCH("intel",F243)),ISNUMBER(SEARCH("company",D243)),ISNUMBER(SEARCH("digger",D243))),"Research and intel",
OR(ISNUMBER(SEARCH("prompt",D243)),ISNUMBER(SEARCH("prompt",F243))),"Prompting help",
OR(ISNUMBER(SEARCH("role",D243)),ISNUMBER(SEARCH("scorecard",F243)),ISNUMBER(SEARCH("competenc",F243))),"Role and leadership advisory",
OR(ISNUMBER(SEARCH("meeting",F243)),ISNUMBER(SEARCH("notes",F243)),ISNUMBER(SEARCH("summary",F243))),"Meeting notes and summarization",
TRUE,"Other or fragmented"
)</f>
        <v>Research and intel</v>
      </c>
      <c r="O243" s="3" t="s">
        <v>23</v>
      </c>
      <c r="P243" s="3"/>
    </row>
    <row r="244" spans="1:16" x14ac:dyDescent="0.25">
      <c r="A244" t="s">
        <v>15</v>
      </c>
      <c r="B244" s="1">
        <v>45992</v>
      </c>
      <c r="C244" s="1">
        <v>46022</v>
      </c>
      <c r="D244" t="s">
        <v>379</v>
      </c>
      <c r="E244" t="s">
        <v>17</v>
      </c>
      <c r="F244" t="s">
        <v>380</v>
      </c>
      <c r="G244">
        <v>1</v>
      </c>
      <c r="H244" s="1">
        <v>46008</v>
      </c>
      <c r="I244" s="1">
        <v>46015</v>
      </c>
      <c r="J244">
        <v>65</v>
      </c>
      <c r="K244">
        <v>1</v>
      </c>
      <c r="L244" t="s">
        <v>378</v>
      </c>
      <c r="M244" s="9" t="s">
        <v>12</v>
      </c>
      <c r="N244" s="3" t="str" cm="1">
        <f t="array" ref="N244">_xlfn.IFS(
OR(ISNUMBER(SEARCH("email",D244)),ISNUMBER(SEARCH("email",F244)),ISNUMBER(SEARCH("polish",D244)),ISNUMBER(SEARCH("rewrite",F244)),ISNUMBER(SEARCH("copy",F244))),"Writing and comms",
OR(ISNUMBER(SEARCH("research",F244)),ISNUMBER(SEARCH("intel",F244)),ISNUMBER(SEARCH("company",D244)),ISNUMBER(SEARCH("digger",D244))),"Research and intel",
OR(ISNUMBER(SEARCH("prompt",D244)),ISNUMBER(SEARCH("prompt",F244))),"Prompting help",
OR(ISNUMBER(SEARCH("role",D244)),ISNUMBER(SEARCH("scorecard",F244)),ISNUMBER(SEARCH("competenc",F244))),"Role and leadership advisory",
OR(ISNUMBER(SEARCH("meeting",F244)),ISNUMBER(SEARCH("notes",F244)),ISNUMBER(SEARCH("summary",F244))),"Meeting notes and summarization",
TRUE,"Other or fragmented"
)</f>
        <v>Other or fragmented</v>
      </c>
      <c r="O244" s="3" t="s">
        <v>23</v>
      </c>
      <c r="P244" s="3"/>
    </row>
    <row r="245" spans="1:16" x14ac:dyDescent="0.25">
      <c r="A245" t="s">
        <v>15</v>
      </c>
      <c r="B245" s="1">
        <v>45992</v>
      </c>
      <c r="C245" s="1">
        <v>46022</v>
      </c>
      <c r="D245" t="s">
        <v>381</v>
      </c>
      <c r="E245" t="s">
        <v>17</v>
      </c>
      <c r="G245">
        <v>0</v>
      </c>
      <c r="J245">
        <v>0</v>
      </c>
      <c r="K245">
        <v>0</v>
      </c>
      <c r="L245" t="s">
        <v>378</v>
      </c>
      <c r="M245" s="10" t="s">
        <v>19</v>
      </c>
      <c r="N245" s="3" t="str" cm="1">
        <f t="array" ref="N245">_xlfn.IFS(
OR(ISNUMBER(SEARCH("email",D245)),ISNUMBER(SEARCH("email",F245)),ISNUMBER(SEARCH("polish",D245)),ISNUMBER(SEARCH("rewrite",F245)),ISNUMBER(SEARCH("copy",F245))),"Writing and comms",
OR(ISNUMBER(SEARCH("research",F245)),ISNUMBER(SEARCH("intel",F245)),ISNUMBER(SEARCH("company",D245)),ISNUMBER(SEARCH("digger",D245))),"Research and intel",
OR(ISNUMBER(SEARCH("prompt",D245)),ISNUMBER(SEARCH("prompt",F245))),"Prompting help",
OR(ISNUMBER(SEARCH("role",D245)),ISNUMBER(SEARCH("scorecard",F245)),ISNUMBER(SEARCH("competenc",F245))),"Role and leadership advisory",
OR(ISNUMBER(SEARCH("meeting",F245)),ISNUMBER(SEARCH("notes",F245)),ISNUMBER(SEARCH("summary",F245))),"Meeting notes and summarization",
TRUE,"Other or fragmented"
)</f>
        <v>Other or fragmented</v>
      </c>
      <c r="O245" s="3" t="s">
        <v>23</v>
      </c>
      <c r="P245" s="3"/>
    </row>
    <row r="246" spans="1:16" x14ac:dyDescent="0.25">
      <c r="A246" t="s">
        <v>15</v>
      </c>
      <c r="B246" s="1">
        <v>45992</v>
      </c>
      <c r="C246" s="1">
        <v>46022</v>
      </c>
      <c r="D246" t="s">
        <v>382</v>
      </c>
      <c r="E246" t="s">
        <v>17</v>
      </c>
      <c r="G246">
        <v>0</v>
      </c>
      <c r="J246">
        <v>0</v>
      </c>
      <c r="K246">
        <v>0</v>
      </c>
      <c r="L246" t="s">
        <v>378</v>
      </c>
      <c r="M246" s="9" t="s">
        <v>19</v>
      </c>
      <c r="N246" s="3" t="str" cm="1">
        <f t="array" ref="N246">_xlfn.IFS(
OR(ISNUMBER(SEARCH("email",D246)),ISNUMBER(SEARCH("email",F246)),ISNUMBER(SEARCH("polish",D246)),ISNUMBER(SEARCH("rewrite",F246)),ISNUMBER(SEARCH("copy",F246))),"Writing and comms",
OR(ISNUMBER(SEARCH("research",F246)),ISNUMBER(SEARCH("intel",F246)),ISNUMBER(SEARCH("company",D246)),ISNUMBER(SEARCH("digger",D246))),"Research and intel",
OR(ISNUMBER(SEARCH("prompt",D246)),ISNUMBER(SEARCH("prompt",F246))),"Prompting help",
OR(ISNUMBER(SEARCH("role",D246)),ISNUMBER(SEARCH("scorecard",F246)),ISNUMBER(SEARCH("competenc",F246))),"Role and leadership advisory",
OR(ISNUMBER(SEARCH("meeting",F246)),ISNUMBER(SEARCH("notes",F246)),ISNUMBER(SEARCH("summary",F246))),"Meeting notes and summarization",
TRUE,"Other or fragmented"
)</f>
        <v>Other or fragmented</v>
      </c>
      <c r="O246" s="3" t="s">
        <v>23</v>
      </c>
      <c r="P246" s="3"/>
    </row>
    <row r="247" spans="1:16" x14ac:dyDescent="0.25">
      <c r="A247" t="s">
        <v>15</v>
      </c>
      <c r="B247" s="1">
        <v>45992</v>
      </c>
      <c r="C247" s="1">
        <v>46022</v>
      </c>
      <c r="D247" t="s">
        <v>383</v>
      </c>
      <c r="E247" t="s">
        <v>17</v>
      </c>
      <c r="G247">
        <v>0</v>
      </c>
      <c r="J247">
        <v>0</v>
      </c>
      <c r="K247">
        <v>0</v>
      </c>
      <c r="L247" t="s">
        <v>378</v>
      </c>
      <c r="M247" s="10" t="s">
        <v>19</v>
      </c>
      <c r="N247" s="3" t="str" cm="1">
        <f t="array" ref="N247">_xlfn.IFS(
OR(ISNUMBER(SEARCH("email",D247)),ISNUMBER(SEARCH("email",F247)),ISNUMBER(SEARCH("polish",D247)),ISNUMBER(SEARCH("rewrite",F247)),ISNUMBER(SEARCH("copy",F247))),"Writing and comms",
OR(ISNUMBER(SEARCH("research",F247)),ISNUMBER(SEARCH("intel",F247)),ISNUMBER(SEARCH("company",D247)),ISNUMBER(SEARCH("digger",D247))),"Research and intel",
OR(ISNUMBER(SEARCH("prompt",D247)),ISNUMBER(SEARCH("prompt",F247))),"Prompting help",
OR(ISNUMBER(SEARCH("role",D247)),ISNUMBER(SEARCH("scorecard",F247)),ISNUMBER(SEARCH("competenc",F247))),"Role and leadership advisory",
OR(ISNUMBER(SEARCH("meeting",F247)),ISNUMBER(SEARCH("notes",F247)),ISNUMBER(SEARCH("summary",F247))),"Meeting notes and summarization",
TRUE,"Other or fragmented"
)</f>
        <v>Other or fragmented</v>
      </c>
      <c r="O247" s="3" t="s">
        <v>23</v>
      </c>
      <c r="P247" s="3"/>
    </row>
    <row r="248" spans="1:16" x14ac:dyDescent="0.25">
      <c r="A248" t="s">
        <v>15</v>
      </c>
      <c r="B248" s="1">
        <v>45992</v>
      </c>
      <c r="C248" s="1">
        <v>46022</v>
      </c>
      <c r="D248" t="s">
        <v>384</v>
      </c>
      <c r="E248" t="s">
        <v>24</v>
      </c>
      <c r="G248">
        <v>0</v>
      </c>
      <c r="J248">
        <v>0</v>
      </c>
      <c r="K248">
        <v>0</v>
      </c>
      <c r="L248" t="s">
        <v>378</v>
      </c>
      <c r="M248" s="9" t="s">
        <v>19</v>
      </c>
      <c r="N248" s="3" t="str" cm="1">
        <f t="array" ref="N248">_xlfn.IFS(
OR(ISNUMBER(SEARCH("email",D248)),ISNUMBER(SEARCH("email",F248)),ISNUMBER(SEARCH("polish",D248)),ISNUMBER(SEARCH("rewrite",F248)),ISNUMBER(SEARCH("copy",F248))),"Writing and comms",
OR(ISNUMBER(SEARCH("research",F248)),ISNUMBER(SEARCH("intel",F248)),ISNUMBER(SEARCH("company",D248)),ISNUMBER(SEARCH("digger",D248))),"Research and intel",
OR(ISNUMBER(SEARCH("prompt",D248)),ISNUMBER(SEARCH("prompt",F248))),"Prompting help",
OR(ISNUMBER(SEARCH("role",D248)),ISNUMBER(SEARCH("scorecard",F248)),ISNUMBER(SEARCH("competenc",F248))),"Role and leadership advisory",
OR(ISNUMBER(SEARCH("meeting",F248)),ISNUMBER(SEARCH("notes",F248)),ISNUMBER(SEARCH("summary",F248))),"Meeting notes and summarization",
TRUE,"Other or fragmented"
)</f>
        <v>Other or fragmented</v>
      </c>
      <c r="O248" s="3" t="s">
        <v>23</v>
      </c>
      <c r="P248" s="3"/>
    </row>
    <row r="249" spans="1:16" x14ac:dyDescent="0.25">
      <c r="A249" t="s">
        <v>15</v>
      </c>
      <c r="B249" s="1">
        <v>45992</v>
      </c>
      <c r="C249" s="1">
        <v>46022</v>
      </c>
      <c r="D249" t="s">
        <v>385</v>
      </c>
      <c r="E249" t="s">
        <v>17</v>
      </c>
      <c r="G249">
        <v>0</v>
      </c>
      <c r="J249">
        <v>0</v>
      </c>
      <c r="K249">
        <v>0</v>
      </c>
      <c r="L249" t="s">
        <v>378</v>
      </c>
      <c r="M249" s="10" t="s">
        <v>19</v>
      </c>
      <c r="N249" s="3" t="str" cm="1">
        <f t="array" ref="N249">_xlfn.IFS(
OR(ISNUMBER(SEARCH("email",D249)),ISNUMBER(SEARCH("email",F249)),ISNUMBER(SEARCH("polish",D249)),ISNUMBER(SEARCH("rewrite",F249)),ISNUMBER(SEARCH("copy",F249))),"Writing and comms",
OR(ISNUMBER(SEARCH("research",F249)),ISNUMBER(SEARCH("intel",F249)),ISNUMBER(SEARCH("company",D249)),ISNUMBER(SEARCH("digger",D249))),"Research and intel",
OR(ISNUMBER(SEARCH("prompt",D249)),ISNUMBER(SEARCH("prompt",F249))),"Prompting help",
OR(ISNUMBER(SEARCH("role",D249)),ISNUMBER(SEARCH("scorecard",F249)),ISNUMBER(SEARCH("competenc",F249))),"Role and leadership advisory",
OR(ISNUMBER(SEARCH("meeting",F249)),ISNUMBER(SEARCH("notes",F249)),ISNUMBER(SEARCH("summary",F249))),"Meeting notes and summarization",
TRUE,"Other or fragmented"
)</f>
        <v>Other or fragmented</v>
      </c>
      <c r="O249" s="3" t="s">
        <v>23</v>
      </c>
      <c r="P249" s="3"/>
    </row>
    <row r="250" spans="1:16" x14ac:dyDescent="0.25">
      <c r="A250" t="s">
        <v>15</v>
      </c>
      <c r="B250" s="1">
        <v>45992</v>
      </c>
      <c r="C250" s="1">
        <v>46022</v>
      </c>
      <c r="D250" t="s">
        <v>386</v>
      </c>
      <c r="E250" t="s">
        <v>17</v>
      </c>
      <c r="G250">
        <v>0</v>
      </c>
      <c r="J250">
        <v>0</v>
      </c>
      <c r="K250">
        <v>0</v>
      </c>
      <c r="L250" t="s">
        <v>378</v>
      </c>
      <c r="M250" s="9" t="s">
        <v>19</v>
      </c>
      <c r="N250" s="3" t="str" cm="1">
        <f t="array" ref="N250">_xlfn.IFS(
OR(ISNUMBER(SEARCH("email",D250)),ISNUMBER(SEARCH("email",F250)),ISNUMBER(SEARCH("polish",D250)),ISNUMBER(SEARCH("rewrite",F250)),ISNUMBER(SEARCH("copy",F250))),"Writing and comms",
OR(ISNUMBER(SEARCH("research",F250)),ISNUMBER(SEARCH("intel",F250)),ISNUMBER(SEARCH("company",D250)),ISNUMBER(SEARCH("digger",D250))),"Research and intel",
OR(ISNUMBER(SEARCH("prompt",D250)),ISNUMBER(SEARCH("prompt",F250))),"Prompting help",
OR(ISNUMBER(SEARCH("role",D250)),ISNUMBER(SEARCH("scorecard",F250)),ISNUMBER(SEARCH("competenc",F250))),"Role and leadership advisory",
OR(ISNUMBER(SEARCH("meeting",F250)),ISNUMBER(SEARCH("notes",F250)),ISNUMBER(SEARCH("summary",F250))),"Meeting notes and summarization",
TRUE,"Other or fragmented"
)</f>
        <v>Other or fragmented</v>
      </c>
      <c r="O250" s="3" t="s">
        <v>23</v>
      </c>
      <c r="P250" s="3"/>
    </row>
    <row r="251" spans="1:16" x14ac:dyDescent="0.25">
      <c r="A251" t="s">
        <v>15</v>
      </c>
      <c r="B251" s="1">
        <v>45992</v>
      </c>
      <c r="C251" s="1">
        <v>46022</v>
      </c>
      <c r="D251" t="s">
        <v>387</v>
      </c>
      <c r="E251" t="s">
        <v>17</v>
      </c>
      <c r="G251">
        <v>0</v>
      </c>
      <c r="J251">
        <v>0</v>
      </c>
      <c r="K251">
        <v>0</v>
      </c>
      <c r="L251" t="s">
        <v>378</v>
      </c>
      <c r="M251" s="10" t="s">
        <v>19</v>
      </c>
      <c r="N251" s="3" t="str" cm="1">
        <f t="array" ref="N251">_xlfn.IFS(
OR(ISNUMBER(SEARCH("email",D251)),ISNUMBER(SEARCH("email",F251)),ISNUMBER(SEARCH("polish",D251)),ISNUMBER(SEARCH("rewrite",F251)),ISNUMBER(SEARCH("copy",F251))),"Writing and comms",
OR(ISNUMBER(SEARCH("research",F251)),ISNUMBER(SEARCH("intel",F251)),ISNUMBER(SEARCH("company",D251)),ISNUMBER(SEARCH("digger",D251))),"Research and intel",
OR(ISNUMBER(SEARCH("prompt",D251)),ISNUMBER(SEARCH("prompt",F251))),"Prompting help",
OR(ISNUMBER(SEARCH("role",D251)),ISNUMBER(SEARCH("scorecard",F251)),ISNUMBER(SEARCH("competenc",F251))),"Role and leadership advisory",
OR(ISNUMBER(SEARCH("meeting",F251)),ISNUMBER(SEARCH("notes",F251)),ISNUMBER(SEARCH("summary",F251))),"Meeting notes and summarization",
TRUE,"Other or fragmented"
)</f>
        <v>Other or fragmented</v>
      </c>
      <c r="O251" s="3" t="s">
        <v>23</v>
      </c>
      <c r="P251" s="3"/>
    </row>
    <row r="252" spans="1:16" x14ac:dyDescent="0.25">
      <c r="A252" t="s">
        <v>15</v>
      </c>
      <c r="B252" s="1">
        <v>45992</v>
      </c>
      <c r="C252" s="1">
        <v>46022</v>
      </c>
      <c r="D252" t="s">
        <v>388</v>
      </c>
      <c r="E252" t="s">
        <v>24</v>
      </c>
      <c r="F252" t="s">
        <v>377</v>
      </c>
      <c r="G252">
        <v>0</v>
      </c>
      <c r="J252">
        <v>0</v>
      </c>
      <c r="K252">
        <v>0</v>
      </c>
      <c r="L252" t="s">
        <v>378</v>
      </c>
      <c r="M252" s="9" t="s">
        <v>19</v>
      </c>
      <c r="N252" s="3" t="str" cm="1">
        <f t="array" ref="N252">_xlfn.IFS(
OR(ISNUMBER(SEARCH("email",D252)),ISNUMBER(SEARCH("email",F252)),ISNUMBER(SEARCH("polish",D252)),ISNUMBER(SEARCH("rewrite",F252)),ISNUMBER(SEARCH("copy",F252))),"Writing and comms",
OR(ISNUMBER(SEARCH("research",F252)),ISNUMBER(SEARCH("intel",F252)),ISNUMBER(SEARCH("company",D252)),ISNUMBER(SEARCH("digger",D252))),"Research and intel",
OR(ISNUMBER(SEARCH("prompt",D252)),ISNUMBER(SEARCH("prompt",F252))),"Prompting help",
OR(ISNUMBER(SEARCH("role",D252)),ISNUMBER(SEARCH("scorecard",F252)),ISNUMBER(SEARCH("competenc",F252))),"Role and leadership advisory",
OR(ISNUMBER(SEARCH("meeting",F252)),ISNUMBER(SEARCH("notes",F252)),ISNUMBER(SEARCH("summary",F252))),"Meeting notes and summarization",
TRUE,"Other or fragmented"
)</f>
        <v>Research and intel</v>
      </c>
      <c r="O252" s="3" t="s">
        <v>23</v>
      </c>
      <c r="P252" s="3"/>
    </row>
    <row r="253" spans="1:16" x14ac:dyDescent="0.25">
      <c r="A253" t="s">
        <v>15</v>
      </c>
      <c r="B253" s="1">
        <v>45992</v>
      </c>
      <c r="C253" s="1">
        <v>46022</v>
      </c>
      <c r="D253" t="s">
        <v>389</v>
      </c>
      <c r="E253" t="s">
        <v>24</v>
      </c>
      <c r="F253" t="s">
        <v>380</v>
      </c>
      <c r="G253">
        <v>0</v>
      </c>
      <c r="J253">
        <v>0</v>
      </c>
      <c r="K253">
        <v>0</v>
      </c>
      <c r="L253" t="s">
        <v>378</v>
      </c>
      <c r="M253" s="10" t="s">
        <v>12</v>
      </c>
      <c r="N253" s="3" t="str" cm="1">
        <f t="array" ref="N253">_xlfn.IFS(
OR(ISNUMBER(SEARCH("email",D253)),ISNUMBER(SEARCH("email",F253)),ISNUMBER(SEARCH("polish",D253)),ISNUMBER(SEARCH("rewrite",F253)),ISNUMBER(SEARCH("copy",F253))),"Writing and comms",
OR(ISNUMBER(SEARCH("research",F253)),ISNUMBER(SEARCH("intel",F253)),ISNUMBER(SEARCH("company",D253)),ISNUMBER(SEARCH("digger",D253))),"Research and intel",
OR(ISNUMBER(SEARCH("prompt",D253)),ISNUMBER(SEARCH("prompt",F253))),"Prompting help",
OR(ISNUMBER(SEARCH("role",D253)),ISNUMBER(SEARCH("scorecard",F253)),ISNUMBER(SEARCH("competenc",F253))),"Role and leadership advisory",
OR(ISNUMBER(SEARCH("meeting",F253)),ISNUMBER(SEARCH("notes",F253)),ISNUMBER(SEARCH("summary",F253))),"Meeting notes and summarization",
TRUE,"Other or fragmented"
)</f>
        <v>Other or fragmented</v>
      </c>
      <c r="O253" s="3" t="s">
        <v>23</v>
      </c>
      <c r="P253" s="3"/>
    </row>
    <row r="254" spans="1:16" x14ac:dyDescent="0.25">
      <c r="A254" t="s">
        <v>15</v>
      </c>
      <c r="B254" s="1">
        <v>45992</v>
      </c>
      <c r="C254" s="1">
        <v>46022</v>
      </c>
      <c r="D254" t="s">
        <v>390</v>
      </c>
      <c r="E254" t="s">
        <v>24</v>
      </c>
      <c r="G254">
        <v>0</v>
      </c>
      <c r="J254">
        <v>0</v>
      </c>
      <c r="K254">
        <v>0</v>
      </c>
      <c r="L254" t="s">
        <v>378</v>
      </c>
      <c r="M254" s="9" t="s">
        <v>19</v>
      </c>
      <c r="N254" s="3" t="str" cm="1">
        <f t="array" ref="N254">_xlfn.IFS(
OR(ISNUMBER(SEARCH("email",D254)),ISNUMBER(SEARCH("email",F254)),ISNUMBER(SEARCH("polish",D254)),ISNUMBER(SEARCH("rewrite",F254)),ISNUMBER(SEARCH("copy",F254))),"Writing and comms",
OR(ISNUMBER(SEARCH("research",F254)),ISNUMBER(SEARCH("intel",F254)),ISNUMBER(SEARCH("company",D254)),ISNUMBER(SEARCH("digger",D254))),"Research and intel",
OR(ISNUMBER(SEARCH("prompt",D254)),ISNUMBER(SEARCH("prompt",F254))),"Prompting help",
OR(ISNUMBER(SEARCH("role",D254)),ISNUMBER(SEARCH("scorecard",F254)),ISNUMBER(SEARCH("competenc",F254))),"Role and leadership advisory",
OR(ISNUMBER(SEARCH("meeting",F254)),ISNUMBER(SEARCH("notes",F254)),ISNUMBER(SEARCH("summary",F254))),"Meeting notes and summarization",
TRUE,"Other or fragmented"
)</f>
        <v>Other or fragmented</v>
      </c>
      <c r="O254" s="3" t="s">
        <v>23</v>
      </c>
      <c r="P254" s="3"/>
    </row>
    <row r="255" spans="1:16" x14ac:dyDescent="0.25">
      <c r="A255" t="s">
        <v>15</v>
      </c>
      <c r="B255" s="1">
        <v>45992</v>
      </c>
      <c r="C255" s="1">
        <v>46022</v>
      </c>
      <c r="D255" t="s">
        <v>391</v>
      </c>
      <c r="E255" t="s">
        <v>17</v>
      </c>
      <c r="G255">
        <v>0</v>
      </c>
      <c r="J255">
        <v>0</v>
      </c>
      <c r="K255">
        <v>0</v>
      </c>
      <c r="L255" t="s">
        <v>378</v>
      </c>
      <c r="M255" s="10" t="s">
        <v>19</v>
      </c>
      <c r="N255" s="3" t="str" cm="1">
        <f t="array" ref="N255">_xlfn.IFS(
OR(ISNUMBER(SEARCH("email",D255)),ISNUMBER(SEARCH("email",F255)),ISNUMBER(SEARCH("polish",D255)),ISNUMBER(SEARCH("rewrite",F255)),ISNUMBER(SEARCH("copy",F255))),"Writing and comms",
OR(ISNUMBER(SEARCH("research",F255)),ISNUMBER(SEARCH("intel",F255)),ISNUMBER(SEARCH("company",D255)),ISNUMBER(SEARCH("digger",D255))),"Research and intel",
OR(ISNUMBER(SEARCH("prompt",D255)),ISNUMBER(SEARCH("prompt",F255))),"Prompting help",
OR(ISNUMBER(SEARCH("role",D255)),ISNUMBER(SEARCH("scorecard",F255)),ISNUMBER(SEARCH("competenc",F255))),"Role and leadership advisory",
OR(ISNUMBER(SEARCH("meeting",F255)),ISNUMBER(SEARCH("notes",F255)),ISNUMBER(SEARCH("summary",F255))),"Meeting notes and summarization",
TRUE,"Other or fragmented"
)</f>
        <v>Other or fragmented</v>
      </c>
      <c r="O255" s="3" t="s">
        <v>23</v>
      </c>
      <c r="P255" s="3"/>
    </row>
    <row r="256" spans="1:16" x14ac:dyDescent="0.25">
      <c r="A256" t="s">
        <v>15</v>
      </c>
      <c r="B256" s="1">
        <v>45992</v>
      </c>
      <c r="C256" s="1">
        <v>46022</v>
      </c>
      <c r="D256" t="s">
        <v>392</v>
      </c>
      <c r="E256" t="s">
        <v>17</v>
      </c>
      <c r="G256">
        <v>0</v>
      </c>
      <c r="J256">
        <v>0</v>
      </c>
      <c r="K256">
        <v>0</v>
      </c>
      <c r="L256" t="s">
        <v>378</v>
      </c>
      <c r="M256" s="9" t="s">
        <v>19</v>
      </c>
      <c r="N256" s="3" t="str" cm="1">
        <f t="array" ref="N256">_xlfn.IFS(
OR(ISNUMBER(SEARCH("email",D256)),ISNUMBER(SEARCH("email",F256)),ISNUMBER(SEARCH("polish",D256)),ISNUMBER(SEARCH("rewrite",F256)),ISNUMBER(SEARCH("copy",F256))),"Writing and comms",
OR(ISNUMBER(SEARCH("research",F256)),ISNUMBER(SEARCH("intel",F256)),ISNUMBER(SEARCH("company",D256)),ISNUMBER(SEARCH("digger",D256))),"Research and intel",
OR(ISNUMBER(SEARCH("prompt",D256)),ISNUMBER(SEARCH("prompt",F256))),"Prompting help",
OR(ISNUMBER(SEARCH("role",D256)),ISNUMBER(SEARCH("scorecard",F256)),ISNUMBER(SEARCH("competenc",F256))),"Role and leadership advisory",
OR(ISNUMBER(SEARCH("meeting",F256)),ISNUMBER(SEARCH("notes",F256)),ISNUMBER(SEARCH("summary",F256))),"Meeting notes and summarization",
TRUE,"Other or fragmented"
)</f>
        <v>Other or fragmented</v>
      </c>
      <c r="O256" s="3" t="s">
        <v>96</v>
      </c>
      <c r="P256" s="3"/>
    </row>
    <row r="257" spans="1:16" x14ac:dyDescent="0.25">
      <c r="A257" t="s">
        <v>15</v>
      </c>
      <c r="B257" s="1">
        <v>45992</v>
      </c>
      <c r="C257" s="1">
        <v>46022</v>
      </c>
      <c r="D257" t="s">
        <v>393</v>
      </c>
      <c r="E257" t="s">
        <v>24</v>
      </c>
      <c r="F257" t="s">
        <v>377</v>
      </c>
      <c r="G257">
        <v>0</v>
      </c>
      <c r="J257">
        <v>0</v>
      </c>
      <c r="K257">
        <v>0</v>
      </c>
      <c r="L257" t="s">
        <v>378</v>
      </c>
      <c r="M257" s="10" t="s">
        <v>19</v>
      </c>
      <c r="N257" s="3" t="str" cm="1">
        <f t="array" ref="N257">_xlfn.IFS(
OR(ISNUMBER(SEARCH("email",D257)),ISNUMBER(SEARCH("email",F257)),ISNUMBER(SEARCH("polish",D257)),ISNUMBER(SEARCH("rewrite",F257)),ISNUMBER(SEARCH("copy",F257))),"Writing and comms",
OR(ISNUMBER(SEARCH("research",F257)),ISNUMBER(SEARCH("intel",F257)),ISNUMBER(SEARCH("company",D257)),ISNUMBER(SEARCH("digger",D257))),"Research and intel",
OR(ISNUMBER(SEARCH("prompt",D257)),ISNUMBER(SEARCH("prompt",F257))),"Prompting help",
OR(ISNUMBER(SEARCH("role",D257)),ISNUMBER(SEARCH("scorecard",F257)),ISNUMBER(SEARCH("competenc",F257))),"Role and leadership advisory",
OR(ISNUMBER(SEARCH("meeting",F257)),ISNUMBER(SEARCH("notes",F257)),ISNUMBER(SEARCH("summary",F257))),"Meeting notes and summarization",
TRUE,"Other or fragmented"
)</f>
        <v>Research and intel</v>
      </c>
      <c r="O257" s="3" t="s">
        <v>96</v>
      </c>
      <c r="P257" s="3"/>
    </row>
    <row r="258" spans="1:16" x14ac:dyDescent="0.25">
      <c r="A258" t="s">
        <v>15</v>
      </c>
      <c r="B258" s="1">
        <v>45992</v>
      </c>
      <c r="C258" s="1">
        <v>46022</v>
      </c>
      <c r="D258" t="s">
        <v>394</v>
      </c>
      <c r="E258" t="s">
        <v>17</v>
      </c>
      <c r="G258">
        <v>0</v>
      </c>
      <c r="J258">
        <v>0</v>
      </c>
      <c r="K258">
        <v>0</v>
      </c>
      <c r="L258" t="s">
        <v>395</v>
      </c>
      <c r="M258" s="9" t="s">
        <v>19</v>
      </c>
      <c r="N258" s="3" t="str" cm="1">
        <f t="array" ref="N258">_xlfn.IFS(
OR(ISNUMBER(SEARCH("email",D258)),ISNUMBER(SEARCH("email",F258)),ISNUMBER(SEARCH("polish",D258)),ISNUMBER(SEARCH("rewrite",F258)),ISNUMBER(SEARCH("copy",F258))),"Writing and comms",
OR(ISNUMBER(SEARCH("research",F258)),ISNUMBER(SEARCH("intel",F258)),ISNUMBER(SEARCH("company",D258)),ISNUMBER(SEARCH("digger",D258))),"Research and intel",
OR(ISNUMBER(SEARCH("prompt",D258)),ISNUMBER(SEARCH("prompt",F258))),"Prompting help",
OR(ISNUMBER(SEARCH("role",D258)),ISNUMBER(SEARCH("scorecard",F258)),ISNUMBER(SEARCH("competenc",F258))),"Role and leadership advisory",
OR(ISNUMBER(SEARCH("meeting",F258)),ISNUMBER(SEARCH("notes",F258)),ISNUMBER(SEARCH("summary",F258))),"Meeting notes and summarization",
TRUE,"Other or fragmented"
)</f>
        <v>Other or fragmented</v>
      </c>
      <c r="O258" s="3" t="s">
        <v>96</v>
      </c>
      <c r="P258" s="3"/>
    </row>
    <row r="259" spans="1:16" x14ac:dyDescent="0.25">
      <c r="A259" t="s">
        <v>15</v>
      </c>
      <c r="B259" s="1">
        <v>45992</v>
      </c>
      <c r="C259" s="1">
        <v>46022</v>
      </c>
      <c r="E259" t="s">
        <v>24</v>
      </c>
      <c r="G259">
        <v>0</v>
      </c>
      <c r="J259">
        <v>0</v>
      </c>
      <c r="K259">
        <v>0</v>
      </c>
      <c r="L259" t="s">
        <v>395</v>
      </c>
      <c r="M259" s="10" t="s">
        <v>19</v>
      </c>
      <c r="N259" s="3" t="str" cm="1">
        <f t="array" ref="N259">_xlfn.IFS(
OR(ISNUMBER(SEARCH("email",D259)),ISNUMBER(SEARCH("email",F259)),ISNUMBER(SEARCH("polish",D259)),ISNUMBER(SEARCH("rewrite",F259)),ISNUMBER(SEARCH("copy",F259))),"Writing and comms",
OR(ISNUMBER(SEARCH("research",F259)),ISNUMBER(SEARCH("intel",F259)),ISNUMBER(SEARCH("company",D259)),ISNUMBER(SEARCH("digger",D259))),"Research and intel",
OR(ISNUMBER(SEARCH("prompt",D259)),ISNUMBER(SEARCH("prompt",F259))),"Prompting help",
OR(ISNUMBER(SEARCH("role",D259)),ISNUMBER(SEARCH("scorecard",F259)),ISNUMBER(SEARCH("competenc",F259))),"Role and leadership advisory",
OR(ISNUMBER(SEARCH("meeting",F259)),ISNUMBER(SEARCH("notes",F259)),ISNUMBER(SEARCH("summary",F259))),"Meeting notes and summarization",
TRUE,"Other or fragmented"
)</f>
        <v>Other or fragmented</v>
      </c>
      <c r="O259" s="3" t="s">
        <v>96</v>
      </c>
      <c r="P259" s="3"/>
    </row>
    <row r="260" spans="1:16" x14ac:dyDescent="0.25">
      <c r="A260" t="s">
        <v>15</v>
      </c>
      <c r="B260" s="1">
        <v>45992</v>
      </c>
      <c r="C260" s="1">
        <v>46022</v>
      </c>
      <c r="D260" t="s">
        <v>396</v>
      </c>
      <c r="E260" t="s">
        <v>17</v>
      </c>
      <c r="G260">
        <v>0</v>
      </c>
      <c r="J260">
        <v>0</v>
      </c>
      <c r="K260">
        <v>0</v>
      </c>
      <c r="L260" t="s">
        <v>395</v>
      </c>
      <c r="M260" s="9" t="s">
        <v>19</v>
      </c>
      <c r="N260" s="3" t="str" cm="1">
        <f t="array" ref="N260">_xlfn.IFS(
OR(ISNUMBER(SEARCH("email",D260)),ISNUMBER(SEARCH("email",F260)),ISNUMBER(SEARCH("polish",D260)),ISNUMBER(SEARCH("rewrite",F260)),ISNUMBER(SEARCH("copy",F260))),"Writing and comms",
OR(ISNUMBER(SEARCH("research",F260)),ISNUMBER(SEARCH("intel",F260)),ISNUMBER(SEARCH("company",D260)),ISNUMBER(SEARCH("digger",D260))),"Research and intel",
OR(ISNUMBER(SEARCH("prompt",D260)),ISNUMBER(SEARCH("prompt",F260))),"Prompting help",
OR(ISNUMBER(SEARCH("role",D260)),ISNUMBER(SEARCH("scorecard",F260)),ISNUMBER(SEARCH("competenc",F260))),"Role and leadership advisory",
OR(ISNUMBER(SEARCH("meeting",F260)),ISNUMBER(SEARCH("notes",F260)),ISNUMBER(SEARCH("summary",F260))),"Meeting notes and summarization",
TRUE,"Other or fragmented"
)</f>
        <v>Other or fragmented</v>
      </c>
      <c r="O260" s="3" t="s">
        <v>96</v>
      </c>
      <c r="P260" s="3"/>
    </row>
    <row r="261" spans="1:16" x14ac:dyDescent="0.25">
      <c r="A261" t="s">
        <v>15</v>
      </c>
      <c r="B261" s="1">
        <v>45992</v>
      </c>
      <c r="C261" s="1">
        <v>46022</v>
      </c>
      <c r="E261" t="s">
        <v>24</v>
      </c>
      <c r="F261" t="s">
        <v>397</v>
      </c>
      <c r="G261">
        <v>1</v>
      </c>
      <c r="H261" s="1">
        <v>46005</v>
      </c>
      <c r="I261" s="1">
        <v>46005</v>
      </c>
      <c r="J261">
        <v>4</v>
      </c>
      <c r="K261">
        <v>1</v>
      </c>
      <c r="L261" t="s">
        <v>398</v>
      </c>
      <c r="M261" s="10" t="s">
        <v>19</v>
      </c>
      <c r="N261" s="3" t="str" cm="1">
        <f t="array" ref="N261">_xlfn.IFS(
OR(ISNUMBER(SEARCH("email",D261)),ISNUMBER(SEARCH("email",F261)),ISNUMBER(SEARCH("polish",D261)),ISNUMBER(SEARCH("rewrite",F261)),ISNUMBER(SEARCH("copy",F261))),"Writing and comms",
OR(ISNUMBER(SEARCH("research",F261)),ISNUMBER(SEARCH("intel",F261)),ISNUMBER(SEARCH("company",D261)),ISNUMBER(SEARCH("digger",D261))),"Research and intel",
OR(ISNUMBER(SEARCH("prompt",D261)),ISNUMBER(SEARCH("prompt",F261))),"Prompting help",
OR(ISNUMBER(SEARCH("role",D261)),ISNUMBER(SEARCH("scorecard",F261)),ISNUMBER(SEARCH("competenc",F261))),"Role and leadership advisory",
OR(ISNUMBER(SEARCH("meeting",F261)),ISNUMBER(SEARCH("notes",F261)),ISNUMBER(SEARCH("summary",F261))),"Meeting notes and summarization",
TRUE,"Other or fragmented"
)</f>
        <v>Meeting notes and summarization</v>
      </c>
      <c r="O261" s="3" t="s">
        <v>96</v>
      </c>
      <c r="P261" s="3"/>
    </row>
    <row r="262" spans="1:16" x14ac:dyDescent="0.25">
      <c r="A262" t="s">
        <v>15</v>
      </c>
      <c r="B262" s="1">
        <v>45992</v>
      </c>
      <c r="C262" s="1">
        <v>46022</v>
      </c>
      <c r="D262" t="s">
        <v>399</v>
      </c>
      <c r="E262" t="s">
        <v>17</v>
      </c>
      <c r="F262" t="s">
        <v>400</v>
      </c>
      <c r="G262">
        <v>1</v>
      </c>
      <c r="H262" s="1">
        <v>46007</v>
      </c>
      <c r="I262" s="1">
        <v>46021</v>
      </c>
      <c r="J262">
        <v>87</v>
      </c>
      <c r="K262">
        <v>1</v>
      </c>
      <c r="L262" t="s">
        <v>398</v>
      </c>
      <c r="M262" s="9" t="s">
        <v>19</v>
      </c>
      <c r="N262" s="3" t="str" cm="1">
        <f t="array" ref="N262">_xlfn.IFS(
OR(ISNUMBER(SEARCH("email",D262)),ISNUMBER(SEARCH("email",F262)),ISNUMBER(SEARCH("polish",D262)),ISNUMBER(SEARCH("rewrite",F262)),ISNUMBER(SEARCH("copy",F262))),"Writing and comms",
OR(ISNUMBER(SEARCH("research",F262)),ISNUMBER(SEARCH("intel",F262)),ISNUMBER(SEARCH("company",D262)),ISNUMBER(SEARCH("digger",D262))),"Research and intel",
OR(ISNUMBER(SEARCH("prompt",D262)),ISNUMBER(SEARCH("prompt",F262))),"Prompting help",
OR(ISNUMBER(SEARCH("role",D262)),ISNUMBER(SEARCH("scorecard",F262)),ISNUMBER(SEARCH("competenc",F262))),"Role and leadership advisory",
OR(ISNUMBER(SEARCH("meeting",F262)),ISNUMBER(SEARCH("notes",F262)),ISNUMBER(SEARCH("summary",F262))),"Meeting notes and summarization",
TRUE,"Other or fragmented"
)</f>
        <v>Other or fragmented</v>
      </c>
      <c r="O262" s="3" t="s">
        <v>96</v>
      </c>
      <c r="P262" s="3"/>
    </row>
    <row r="263" spans="1:16" x14ac:dyDescent="0.25">
      <c r="A263" t="s">
        <v>15</v>
      </c>
      <c r="B263" s="1">
        <v>45992</v>
      </c>
      <c r="C263" s="1">
        <v>46022</v>
      </c>
      <c r="D263" t="s">
        <v>401</v>
      </c>
      <c r="E263" t="s">
        <v>17</v>
      </c>
      <c r="F263" t="s">
        <v>402</v>
      </c>
      <c r="G263">
        <v>0</v>
      </c>
      <c r="J263">
        <v>0</v>
      </c>
      <c r="K263">
        <v>0</v>
      </c>
      <c r="L263" t="s">
        <v>398</v>
      </c>
      <c r="M263" s="10" t="s">
        <v>19</v>
      </c>
      <c r="N263" s="3" t="str" cm="1">
        <f t="array" ref="N263">_xlfn.IFS(
OR(ISNUMBER(SEARCH("email",D263)),ISNUMBER(SEARCH("email",F263)),ISNUMBER(SEARCH("polish",D263)),ISNUMBER(SEARCH("rewrite",F263)),ISNUMBER(SEARCH("copy",F263))),"Writing and comms",
OR(ISNUMBER(SEARCH("research",F263)),ISNUMBER(SEARCH("intel",F263)),ISNUMBER(SEARCH("company",D263)),ISNUMBER(SEARCH("digger",D263))),"Research and intel",
OR(ISNUMBER(SEARCH("prompt",D263)),ISNUMBER(SEARCH("prompt",F263))),"Prompting help",
OR(ISNUMBER(SEARCH("role",D263)),ISNUMBER(SEARCH("scorecard",F263)),ISNUMBER(SEARCH("competenc",F263))),"Role and leadership advisory",
OR(ISNUMBER(SEARCH("meeting",F263)),ISNUMBER(SEARCH("notes",F263)),ISNUMBER(SEARCH("summary",F263))),"Meeting notes and summarization",
TRUE,"Other or fragmented"
)</f>
        <v>Other or fragmented</v>
      </c>
      <c r="O263" s="3" t="s">
        <v>96</v>
      </c>
      <c r="P263" s="3"/>
    </row>
    <row r="264" spans="1:16" x14ac:dyDescent="0.25">
      <c r="A264" t="s">
        <v>15</v>
      </c>
      <c r="B264" s="1">
        <v>45992</v>
      </c>
      <c r="C264" s="1">
        <v>46022</v>
      </c>
      <c r="D264" t="s">
        <v>403</v>
      </c>
      <c r="E264" t="s">
        <v>17</v>
      </c>
      <c r="G264">
        <v>0</v>
      </c>
      <c r="J264">
        <v>0</v>
      </c>
      <c r="K264">
        <v>0</v>
      </c>
      <c r="L264" t="s">
        <v>398</v>
      </c>
      <c r="M264" s="9" t="s">
        <v>19</v>
      </c>
      <c r="N264" s="3" t="str" cm="1">
        <f t="array" ref="N264">_xlfn.IFS(
OR(ISNUMBER(SEARCH("email",D264)),ISNUMBER(SEARCH("email",F264)),ISNUMBER(SEARCH("polish",D264)),ISNUMBER(SEARCH("rewrite",F264)),ISNUMBER(SEARCH("copy",F264))),"Writing and comms",
OR(ISNUMBER(SEARCH("research",F264)),ISNUMBER(SEARCH("intel",F264)),ISNUMBER(SEARCH("company",D264)),ISNUMBER(SEARCH("digger",D264))),"Research and intel",
OR(ISNUMBER(SEARCH("prompt",D264)),ISNUMBER(SEARCH("prompt",F264))),"Prompting help",
OR(ISNUMBER(SEARCH("role",D264)),ISNUMBER(SEARCH("scorecard",F264)),ISNUMBER(SEARCH("competenc",F264))),"Role and leadership advisory",
OR(ISNUMBER(SEARCH("meeting",F264)),ISNUMBER(SEARCH("notes",F264)),ISNUMBER(SEARCH("summary",F264))),"Meeting notes and summarization",
TRUE,"Other or fragmented"
)</f>
        <v>Other or fragmented</v>
      </c>
      <c r="O264" s="3" t="s">
        <v>96</v>
      </c>
      <c r="P264" s="3"/>
    </row>
    <row r="265" spans="1:16" x14ac:dyDescent="0.25">
      <c r="A265" t="s">
        <v>15</v>
      </c>
      <c r="B265" s="1">
        <v>45992</v>
      </c>
      <c r="C265" s="1">
        <v>46022</v>
      </c>
      <c r="E265" t="s">
        <v>24</v>
      </c>
      <c r="G265">
        <v>0</v>
      </c>
      <c r="J265">
        <v>0</v>
      </c>
      <c r="K265">
        <v>0</v>
      </c>
      <c r="L265" t="s">
        <v>398</v>
      </c>
      <c r="M265" s="10" t="s">
        <v>19</v>
      </c>
      <c r="N265" s="3" t="str" cm="1">
        <f t="array" ref="N265">_xlfn.IFS(
OR(ISNUMBER(SEARCH("email",D265)),ISNUMBER(SEARCH("email",F265)),ISNUMBER(SEARCH("polish",D265)),ISNUMBER(SEARCH("rewrite",F265)),ISNUMBER(SEARCH("copy",F265))),"Writing and comms",
OR(ISNUMBER(SEARCH("research",F265)),ISNUMBER(SEARCH("intel",F265)),ISNUMBER(SEARCH("company",D265)),ISNUMBER(SEARCH("digger",D265))),"Research and intel",
OR(ISNUMBER(SEARCH("prompt",D265)),ISNUMBER(SEARCH("prompt",F265))),"Prompting help",
OR(ISNUMBER(SEARCH("role",D265)),ISNUMBER(SEARCH("scorecard",F265)),ISNUMBER(SEARCH("competenc",F265))),"Role and leadership advisory",
OR(ISNUMBER(SEARCH("meeting",F265)),ISNUMBER(SEARCH("notes",F265)),ISNUMBER(SEARCH("summary",F265))),"Meeting notes and summarization",
TRUE,"Other or fragmented"
)</f>
        <v>Other or fragmented</v>
      </c>
      <c r="O265" s="3" t="s">
        <v>96</v>
      </c>
      <c r="P265" s="3"/>
    </row>
    <row r="266" spans="1:16" x14ac:dyDescent="0.25">
      <c r="A266" t="s">
        <v>15</v>
      </c>
      <c r="B266" s="1">
        <v>45992</v>
      </c>
      <c r="C266" s="1">
        <v>46022</v>
      </c>
      <c r="E266" t="s">
        <v>24</v>
      </c>
      <c r="G266">
        <v>0</v>
      </c>
      <c r="J266">
        <v>0</v>
      </c>
      <c r="K266">
        <v>0</v>
      </c>
      <c r="L266" t="s">
        <v>404</v>
      </c>
      <c r="M266" s="9" t="s">
        <v>19</v>
      </c>
      <c r="N266" s="3" t="str" cm="1">
        <f t="array" ref="N266">_xlfn.IFS(
OR(ISNUMBER(SEARCH("email",D266)),ISNUMBER(SEARCH("email",F266)),ISNUMBER(SEARCH("polish",D266)),ISNUMBER(SEARCH("rewrite",F266)),ISNUMBER(SEARCH("copy",F266))),"Writing and comms",
OR(ISNUMBER(SEARCH("research",F266)),ISNUMBER(SEARCH("intel",F266)),ISNUMBER(SEARCH("company",D266)),ISNUMBER(SEARCH("digger",D266))),"Research and intel",
OR(ISNUMBER(SEARCH("prompt",D266)),ISNUMBER(SEARCH("prompt",F266))),"Prompting help",
OR(ISNUMBER(SEARCH("role",D266)),ISNUMBER(SEARCH("scorecard",F266)),ISNUMBER(SEARCH("competenc",F266))),"Role and leadership advisory",
OR(ISNUMBER(SEARCH("meeting",F266)),ISNUMBER(SEARCH("notes",F266)),ISNUMBER(SEARCH("summary",F266))),"Meeting notes and summarization",
TRUE,"Other or fragmented"
)</f>
        <v>Other or fragmented</v>
      </c>
      <c r="O266" s="3" t="s">
        <v>96</v>
      </c>
      <c r="P266" s="3"/>
    </row>
    <row r="267" spans="1:16" x14ac:dyDescent="0.25">
      <c r="A267" t="s">
        <v>15</v>
      </c>
      <c r="B267" s="1">
        <v>45992</v>
      </c>
      <c r="C267" s="1">
        <v>46022</v>
      </c>
      <c r="E267" t="s">
        <v>24</v>
      </c>
      <c r="G267">
        <v>0</v>
      </c>
      <c r="J267">
        <v>0</v>
      </c>
      <c r="K267">
        <v>0</v>
      </c>
      <c r="L267" t="s">
        <v>405</v>
      </c>
      <c r="M267" s="10" t="s">
        <v>19</v>
      </c>
      <c r="N267" s="3" t="str" cm="1">
        <f t="array" ref="N267">_xlfn.IFS(
OR(ISNUMBER(SEARCH("email",D267)),ISNUMBER(SEARCH("email",F267)),ISNUMBER(SEARCH("polish",D267)),ISNUMBER(SEARCH("rewrite",F267)),ISNUMBER(SEARCH("copy",F267))),"Writing and comms",
OR(ISNUMBER(SEARCH("research",F267)),ISNUMBER(SEARCH("intel",F267)),ISNUMBER(SEARCH("company",D267)),ISNUMBER(SEARCH("digger",D267))),"Research and intel",
OR(ISNUMBER(SEARCH("prompt",D267)),ISNUMBER(SEARCH("prompt",F267))),"Prompting help",
OR(ISNUMBER(SEARCH("role",D267)),ISNUMBER(SEARCH("scorecard",F267)),ISNUMBER(SEARCH("competenc",F267))),"Role and leadership advisory",
OR(ISNUMBER(SEARCH("meeting",F267)),ISNUMBER(SEARCH("notes",F267)),ISNUMBER(SEARCH("summary",F267))),"Meeting notes and summarization",
TRUE,"Other or fragmented"
)</f>
        <v>Other or fragmented</v>
      </c>
      <c r="O267" s="3" t="s">
        <v>96</v>
      </c>
      <c r="P267" s="3"/>
    </row>
    <row r="268" spans="1:16" x14ac:dyDescent="0.25">
      <c r="A268" t="s">
        <v>15</v>
      </c>
      <c r="B268" s="1">
        <v>45992</v>
      </c>
      <c r="C268" s="1">
        <v>46022</v>
      </c>
      <c r="E268" t="s">
        <v>24</v>
      </c>
      <c r="G268">
        <v>0</v>
      </c>
      <c r="J268">
        <v>0</v>
      </c>
      <c r="K268">
        <v>0</v>
      </c>
      <c r="L268" t="s">
        <v>406</v>
      </c>
      <c r="M268" s="9" t="s">
        <v>19</v>
      </c>
      <c r="N268" s="3" t="str" cm="1">
        <f t="array" ref="N268">_xlfn.IFS(
OR(ISNUMBER(SEARCH("email",D268)),ISNUMBER(SEARCH("email",F268)),ISNUMBER(SEARCH("polish",D268)),ISNUMBER(SEARCH("rewrite",F268)),ISNUMBER(SEARCH("copy",F268))),"Writing and comms",
OR(ISNUMBER(SEARCH("research",F268)),ISNUMBER(SEARCH("intel",F268)),ISNUMBER(SEARCH("company",D268)),ISNUMBER(SEARCH("digger",D268))),"Research and intel",
OR(ISNUMBER(SEARCH("prompt",D268)),ISNUMBER(SEARCH("prompt",F268))),"Prompting help",
OR(ISNUMBER(SEARCH("role",D268)),ISNUMBER(SEARCH("scorecard",F268)),ISNUMBER(SEARCH("competenc",F268))),"Role and leadership advisory",
OR(ISNUMBER(SEARCH("meeting",F268)),ISNUMBER(SEARCH("notes",F268)),ISNUMBER(SEARCH("summary",F268))),"Meeting notes and summarization",
TRUE,"Other or fragmented"
)</f>
        <v>Other or fragmented</v>
      </c>
      <c r="O268" s="3" t="s">
        <v>96</v>
      </c>
      <c r="P268" s="3"/>
    </row>
    <row r="269" spans="1:16" x14ac:dyDescent="0.25">
      <c r="A269" t="s">
        <v>15</v>
      </c>
      <c r="B269" s="1">
        <v>45992</v>
      </c>
      <c r="C269" s="1">
        <v>46022</v>
      </c>
      <c r="E269" t="s">
        <v>24</v>
      </c>
      <c r="G269">
        <v>0</v>
      </c>
      <c r="J269">
        <v>0</v>
      </c>
      <c r="K269">
        <v>0</v>
      </c>
      <c r="L269" t="s">
        <v>406</v>
      </c>
      <c r="M269" s="10" t="s">
        <v>19</v>
      </c>
      <c r="N269" s="3" t="str" cm="1">
        <f t="array" ref="N269">_xlfn.IFS(
OR(ISNUMBER(SEARCH("email",D269)),ISNUMBER(SEARCH("email",F269)),ISNUMBER(SEARCH("polish",D269)),ISNUMBER(SEARCH("rewrite",F269)),ISNUMBER(SEARCH("copy",F269))),"Writing and comms",
OR(ISNUMBER(SEARCH("research",F269)),ISNUMBER(SEARCH("intel",F269)),ISNUMBER(SEARCH("company",D269)),ISNUMBER(SEARCH("digger",D269))),"Research and intel",
OR(ISNUMBER(SEARCH("prompt",D269)),ISNUMBER(SEARCH("prompt",F269))),"Prompting help",
OR(ISNUMBER(SEARCH("role",D269)),ISNUMBER(SEARCH("scorecard",F269)),ISNUMBER(SEARCH("competenc",F269))),"Role and leadership advisory",
OR(ISNUMBER(SEARCH("meeting",F269)),ISNUMBER(SEARCH("notes",F269)),ISNUMBER(SEARCH("summary",F269))),"Meeting notes and summarization",
TRUE,"Other or fragmented"
)</f>
        <v>Other or fragmented</v>
      </c>
      <c r="O269" s="3" t="s">
        <v>96</v>
      </c>
      <c r="P269" s="3"/>
    </row>
    <row r="270" spans="1:16" x14ac:dyDescent="0.25">
      <c r="A270" t="s">
        <v>15</v>
      </c>
      <c r="B270" s="1">
        <v>45992</v>
      </c>
      <c r="C270" s="1">
        <v>46022</v>
      </c>
      <c r="E270" t="s">
        <v>24</v>
      </c>
      <c r="G270">
        <v>0</v>
      </c>
      <c r="J270">
        <v>0</v>
      </c>
      <c r="K270">
        <v>0</v>
      </c>
      <c r="L270" t="s">
        <v>406</v>
      </c>
      <c r="M270" s="9" t="s">
        <v>19</v>
      </c>
      <c r="N270" s="3" t="str" cm="1">
        <f t="array" ref="N270">_xlfn.IFS(
OR(ISNUMBER(SEARCH("email",D270)),ISNUMBER(SEARCH("email",F270)),ISNUMBER(SEARCH("polish",D270)),ISNUMBER(SEARCH("rewrite",F270)),ISNUMBER(SEARCH("copy",F270))),"Writing and comms",
OR(ISNUMBER(SEARCH("research",F270)),ISNUMBER(SEARCH("intel",F270)),ISNUMBER(SEARCH("company",D270)),ISNUMBER(SEARCH("digger",D270))),"Research and intel",
OR(ISNUMBER(SEARCH("prompt",D270)),ISNUMBER(SEARCH("prompt",F270))),"Prompting help",
OR(ISNUMBER(SEARCH("role",D270)),ISNUMBER(SEARCH("scorecard",F270)),ISNUMBER(SEARCH("competenc",F270))),"Role and leadership advisory",
OR(ISNUMBER(SEARCH("meeting",F270)),ISNUMBER(SEARCH("notes",F270)),ISNUMBER(SEARCH("summary",F270))),"Meeting notes and summarization",
TRUE,"Other or fragmented"
)</f>
        <v>Other or fragmented</v>
      </c>
      <c r="O270" s="3" t="s">
        <v>96</v>
      </c>
      <c r="P270" s="3"/>
    </row>
    <row r="271" spans="1:16" x14ac:dyDescent="0.25">
      <c r="A271" t="s">
        <v>15</v>
      </c>
      <c r="B271" s="1">
        <v>45992</v>
      </c>
      <c r="C271" s="1">
        <v>46022</v>
      </c>
      <c r="E271" t="s">
        <v>24</v>
      </c>
      <c r="G271">
        <v>0</v>
      </c>
      <c r="J271">
        <v>0</v>
      </c>
      <c r="K271">
        <v>0</v>
      </c>
      <c r="L271" t="s">
        <v>406</v>
      </c>
      <c r="M271" s="10" t="s">
        <v>19</v>
      </c>
      <c r="N271" s="3" t="str" cm="1">
        <f t="array" ref="N271">_xlfn.IFS(
OR(ISNUMBER(SEARCH("email",D271)),ISNUMBER(SEARCH("email",F271)),ISNUMBER(SEARCH("polish",D271)),ISNUMBER(SEARCH("rewrite",F271)),ISNUMBER(SEARCH("copy",F271))),"Writing and comms",
OR(ISNUMBER(SEARCH("research",F271)),ISNUMBER(SEARCH("intel",F271)),ISNUMBER(SEARCH("company",D271)),ISNUMBER(SEARCH("digger",D271))),"Research and intel",
OR(ISNUMBER(SEARCH("prompt",D271)),ISNUMBER(SEARCH("prompt",F271))),"Prompting help",
OR(ISNUMBER(SEARCH("role",D271)),ISNUMBER(SEARCH("scorecard",F271)),ISNUMBER(SEARCH("competenc",F271))),"Role and leadership advisory",
OR(ISNUMBER(SEARCH("meeting",F271)),ISNUMBER(SEARCH("notes",F271)),ISNUMBER(SEARCH("summary",F271))),"Meeting notes and summarization",
TRUE,"Other or fragmented"
)</f>
        <v>Other or fragmented</v>
      </c>
      <c r="O271" s="3" t="s">
        <v>96</v>
      </c>
      <c r="P271" s="3"/>
    </row>
    <row r="272" spans="1:16" x14ac:dyDescent="0.25">
      <c r="A272" t="s">
        <v>15</v>
      </c>
      <c r="B272" s="1">
        <v>45992</v>
      </c>
      <c r="C272" s="1">
        <v>46022</v>
      </c>
      <c r="E272" t="s">
        <v>24</v>
      </c>
      <c r="G272">
        <v>0</v>
      </c>
      <c r="J272">
        <v>0</v>
      </c>
      <c r="K272">
        <v>0</v>
      </c>
      <c r="L272" t="s">
        <v>406</v>
      </c>
      <c r="M272" s="9" t="s">
        <v>19</v>
      </c>
      <c r="N272" s="3" t="str" cm="1">
        <f t="array" ref="N272">_xlfn.IFS(
OR(ISNUMBER(SEARCH("email",D272)),ISNUMBER(SEARCH("email",F272)),ISNUMBER(SEARCH("polish",D272)),ISNUMBER(SEARCH("rewrite",F272)),ISNUMBER(SEARCH("copy",F272))),"Writing and comms",
OR(ISNUMBER(SEARCH("research",F272)),ISNUMBER(SEARCH("intel",F272)),ISNUMBER(SEARCH("company",D272)),ISNUMBER(SEARCH("digger",D272))),"Research and intel",
OR(ISNUMBER(SEARCH("prompt",D272)),ISNUMBER(SEARCH("prompt",F272))),"Prompting help",
OR(ISNUMBER(SEARCH("role",D272)),ISNUMBER(SEARCH("scorecard",F272)),ISNUMBER(SEARCH("competenc",F272))),"Role and leadership advisory",
OR(ISNUMBER(SEARCH("meeting",F272)),ISNUMBER(SEARCH("notes",F272)),ISNUMBER(SEARCH("summary",F272))),"Meeting notes and summarization",
TRUE,"Other or fragmented"
)</f>
        <v>Other or fragmented</v>
      </c>
      <c r="O272" s="3" t="s">
        <v>96</v>
      </c>
      <c r="P272" s="3"/>
    </row>
    <row r="273" spans="1:16" x14ac:dyDescent="0.25">
      <c r="A273" t="s">
        <v>15</v>
      </c>
      <c r="B273" s="1">
        <v>45992</v>
      </c>
      <c r="C273" s="1">
        <v>46022</v>
      </c>
      <c r="E273" t="s">
        <v>24</v>
      </c>
      <c r="G273">
        <v>0</v>
      </c>
      <c r="J273">
        <v>0</v>
      </c>
      <c r="K273">
        <v>0</v>
      </c>
      <c r="L273" t="s">
        <v>406</v>
      </c>
      <c r="M273" s="10" t="s">
        <v>19</v>
      </c>
      <c r="N273" s="3" t="str" cm="1">
        <f t="array" ref="N273">_xlfn.IFS(
OR(ISNUMBER(SEARCH("email",D273)),ISNUMBER(SEARCH("email",F273)),ISNUMBER(SEARCH("polish",D273)),ISNUMBER(SEARCH("rewrite",F273)),ISNUMBER(SEARCH("copy",F273))),"Writing and comms",
OR(ISNUMBER(SEARCH("research",F273)),ISNUMBER(SEARCH("intel",F273)),ISNUMBER(SEARCH("company",D273)),ISNUMBER(SEARCH("digger",D273))),"Research and intel",
OR(ISNUMBER(SEARCH("prompt",D273)),ISNUMBER(SEARCH("prompt",F273))),"Prompting help",
OR(ISNUMBER(SEARCH("role",D273)),ISNUMBER(SEARCH("scorecard",F273)),ISNUMBER(SEARCH("competenc",F273))),"Role and leadership advisory",
OR(ISNUMBER(SEARCH("meeting",F273)),ISNUMBER(SEARCH("notes",F273)),ISNUMBER(SEARCH("summary",F273))),"Meeting notes and summarization",
TRUE,"Other or fragmented"
)</f>
        <v>Other or fragmented</v>
      </c>
      <c r="O273" s="3" t="s">
        <v>96</v>
      </c>
      <c r="P273" s="3"/>
    </row>
    <row r="274" spans="1:16" x14ac:dyDescent="0.25">
      <c r="A274" t="s">
        <v>15</v>
      </c>
      <c r="B274" s="1">
        <v>45992</v>
      </c>
      <c r="C274" s="1">
        <v>46022</v>
      </c>
      <c r="E274" t="s">
        <v>24</v>
      </c>
      <c r="G274">
        <v>0</v>
      </c>
      <c r="J274">
        <v>0</v>
      </c>
      <c r="K274">
        <v>0</v>
      </c>
      <c r="L274" t="s">
        <v>406</v>
      </c>
      <c r="M274" s="9" t="s">
        <v>19</v>
      </c>
      <c r="N274" s="3" t="str" cm="1">
        <f t="array" ref="N274">_xlfn.IFS(
OR(ISNUMBER(SEARCH("email",D274)),ISNUMBER(SEARCH("email",F274)),ISNUMBER(SEARCH("polish",D274)),ISNUMBER(SEARCH("rewrite",F274)),ISNUMBER(SEARCH("copy",F274))),"Writing and comms",
OR(ISNUMBER(SEARCH("research",F274)),ISNUMBER(SEARCH("intel",F274)),ISNUMBER(SEARCH("company",D274)),ISNUMBER(SEARCH("digger",D274))),"Research and intel",
OR(ISNUMBER(SEARCH("prompt",D274)),ISNUMBER(SEARCH("prompt",F274))),"Prompting help",
OR(ISNUMBER(SEARCH("role",D274)),ISNUMBER(SEARCH("scorecard",F274)),ISNUMBER(SEARCH("competenc",F274))),"Role and leadership advisory",
OR(ISNUMBER(SEARCH("meeting",F274)),ISNUMBER(SEARCH("notes",F274)),ISNUMBER(SEARCH("summary",F274))),"Meeting notes and summarization",
TRUE,"Other or fragmented"
)</f>
        <v>Other or fragmented</v>
      </c>
      <c r="O274" s="3" t="s">
        <v>96</v>
      </c>
      <c r="P274" s="3"/>
    </row>
    <row r="275" spans="1:16" x14ac:dyDescent="0.25">
      <c r="A275" t="s">
        <v>15</v>
      </c>
      <c r="B275" s="1">
        <v>45992</v>
      </c>
      <c r="C275" s="1">
        <v>46022</v>
      </c>
      <c r="D275" t="s">
        <v>407</v>
      </c>
      <c r="E275" t="s">
        <v>17</v>
      </c>
      <c r="G275">
        <v>1</v>
      </c>
      <c r="H275" s="1">
        <v>46007</v>
      </c>
      <c r="I275" s="1">
        <v>46014</v>
      </c>
      <c r="J275">
        <v>25</v>
      </c>
      <c r="K275">
        <v>2</v>
      </c>
      <c r="L275" t="s">
        <v>408</v>
      </c>
      <c r="M275" s="10" t="s">
        <v>19</v>
      </c>
      <c r="N275" s="3" t="str" cm="1">
        <f t="array" ref="N275">_xlfn.IFS(
OR(ISNUMBER(SEARCH("email",D275)),ISNUMBER(SEARCH("email",F275)),ISNUMBER(SEARCH("polish",D275)),ISNUMBER(SEARCH("rewrite",F275)),ISNUMBER(SEARCH("copy",F275))),"Writing and comms",
OR(ISNUMBER(SEARCH("research",F275)),ISNUMBER(SEARCH("intel",F275)),ISNUMBER(SEARCH("company",D275)),ISNUMBER(SEARCH("digger",D275))),"Research and intel",
OR(ISNUMBER(SEARCH("prompt",D275)),ISNUMBER(SEARCH("prompt",F275))),"Prompting help",
OR(ISNUMBER(SEARCH("role",D275)),ISNUMBER(SEARCH("scorecard",F275)),ISNUMBER(SEARCH("competenc",F275))),"Role and leadership advisory",
OR(ISNUMBER(SEARCH("meeting",F275)),ISNUMBER(SEARCH("notes",F275)),ISNUMBER(SEARCH("summary",F275))),"Meeting notes and summarization",
TRUE,"Other or fragmented"
)</f>
        <v>Other or fragmented</v>
      </c>
      <c r="O275" s="3" t="s">
        <v>96</v>
      </c>
      <c r="P275" s="3"/>
    </row>
    <row r="276" spans="1:16" x14ac:dyDescent="0.25">
      <c r="A276" t="s">
        <v>15</v>
      </c>
      <c r="B276" s="1">
        <v>45992</v>
      </c>
      <c r="C276" s="1">
        <v>46022</v>
      </c>
      <c r="D276" t="s">
        <v>409</v>
      </c>
      <c r="E276" t="s">
        <v>17</v>
      </c>
      <c r="F276" t="s">
        <v>410</v>
      </c>
      <c r="G276">
        <v>1</v>
      </c>
      <c r="H276" s="1">
        <v>45996</v>
      </c>
      <c r="I276" s="1">
        <v>46010</v>
      </c>
      <c r="J276">
        <v>7</v>
      </c>
      <c r="K276">
        <v>1</v>
      </c>
      <c r="L276" t="s">
        <v>411</v>
      </c>
      <c r="M276" s="9" t="s">
        <v>19</v>
      </c>
      <c r="N276" s="3" t="str" cm="1">
        <f t="array" ref="N276">_xlfn.IFS(
OR(ISNUMBER(SEARCH("email",D276)),ISNUMBER(SEARCH("email",F276)),ISNUMBER(SEARCH("polish",D276)),ISNUMBER(SEARCH("rewrite",F276)),ISNUMBER(SEARCH("copy",F276))),"Writing and comms",
OR(ISNUMBER(SEARCH("research",F276)),ISNUMBER(SEARCH("intel",F276)),ISNUMBER(SEARCH("company",D276)),ISNUMBER(SEARCH("digger",D276))),"Research and intel",
OR(ISNUMBER(SEARCH("prompt",D276)),ISNUMBER(SEARCH("prompt",F276))),"Prompting help",
OR(ISNUMBER(SEARCH("role",D276)),ISNUMBER(SEARCH("scorecard",F276)),ISNUMBER(SEARCH("competenc",F276))),"Role and leadership advisory",
OR(ISNUMBER(SEARCH("meeting",F276)),ISNUMBER(SEARCH("notes",F276)),ISNUMBER(SEARCH("summary",F276))),"Meeting notes and summarization",
TRUE,"Other or fragmented"
)</f>
        <v>Meeting notes and summarization</v>
      </c>
      <c r="O276" s="3" t="s">
        <v>96</v>
      </c>
      <c r="P276" s="3"/>
    </row>
    <row r="277" spans="1:16" x14ac:dyDescent="0.25">
      <c r="A277" t="s">
        <v>15</v>
      </c>
      <c r="B277" s="1">
        <v>45992</v>
      </c>
      <c r="C277" s="1">
        <v>46022</v>
      </c>
      <c r="D277" t="s">
        <v>412</v>
      </c>
      <c r="E277" t="s">
        <v>17</v>
      </c>
      <c r="F277" t="s">
        <v>413</v>
      </c>
      <c r="G277">
        <v>1</v>
      </c>
      <c r="H277" s="1">
        <v>45992</v>
      </c>
      <c r="I277" s="1">
        <v>46009</v>
      </c>
      <c r="J277">
        <v>69</v>
      </c>
      <c r="K277">
        <v>1</v>
      </c>
      <c r="L277" t="s">
        <v>411</v>
      </c>
      <c r="M277" s="10" t="s">
        <v>19</v>
      </c>
      <c r="N277" s="3" t="str" cm="1">
        <f t="array" ref="N277">_xlfn.IFS(
OR(ISNUMBER(SEARCH("email",D277)),ISNUMBER(SEARCH("email",F277)),ISNUMBER(SEARCH("polish",D277)),ISNUMBER(SEARCH("rewrite",F277)),ISNUMBER(SEARCH("copy",F277))),"Writing and comms",
OR(ISNUMBER(SEARCH("research",F277)),ISNUMBER(SEARCH("intel",F277)),ISNUMBER(SEARCH("company",D277)),ISNUMBER(SEARCH("digger",D277))),"Research and intel",
OR(ISNUMBER(SEARCH("prompt",D277)),ISNUMBER(SEARCH("prompt",F277))),"Prompting help",
OR(ISNUMBER(SEARCH("role",D277)),ISNUMBER(SEARCH("scorecard",F277)),ISNUMBER(SEARCH("competenc",F277))),"Role and leadership advisory",
OR(ISNUMBER(SEARCH("meeting",F277)),ISNUMBER(SEARCH("notes",F277)),ISNUMBER(SEARCH("summary",F277))),"Meeting notes and summarization",
TRUE,"Other or fragmented"
)</f>
        <v>Other or fragmented</v>
      </c>
      <c r="O277" s="3" t="s">
        <v>96</v>
      </c>
      <c r="P277" s="3"/>
    </row>
    <row r="278" spans="1:16" x14ac:dyDescent="0.25">
      <c r="A278" t="s">
        <v>15</v>
      </c>
      <c r="B278" s="1">
        <v>45992</v>
      </c>
      <c r="C278" s="1">
        <v>46022</v>
      </c>
      <c r="E278" t="s">
        <v>24</v>
      </c>
      <c r="G278">
        <v>0</v>
      </c>
      <c r="J278">
        <v>0</v>
      </c>
      <c r="K278">
        <v>0</v>
      </c>
      <c r="L278" t="s">
        <v>414</v>
      </c>
      <c r="M278" s="9" t="s">
        <v>19</v>
      </c>
      <c r="N278" s="3" t="str" cm="1">
        <f t="array" ref="N278">_xlfn.IFS(
OR(ISNUMBER(SEARCH("email",D278)),ISNUMBER(SEARCH("email",F278)),ISNUMBER(SEARCH("polish",D278)),ISNUMBER(SEARCH("rewrite",F278)),ISNUMBER(SEARCH("copy",F278))),"Writing and comms",
OR(ISNUMBER(SEARCH("research",F278)),ISNUMBER(SEARCH("intel",F278)),ISNUMBER(SEARCH("company",D278)),ISNUMBER(SEARCH("digger",D278))),"Research and intel",
OR(ISNUMBER(SEARCH("prompt",D278)),ISNUMBER(SEARCH("prompt",F278))),"Prompting help",
OR(ISNUMBER(SEARCH("role",D278)),ISNUMBER(SEARCH("scorecard",F278)),ISNUMBER(SEARCH("competenc",F278))),"Role and leadership advisory",
OR(ISNUMBER(SEARCH("meeting",F278)),ISNUMBER(SEARCH("notes",F278)),ISNUMBER(SEARCH("summary",F278))),"Meeting notes and summarization",
TRUE,"Other or fragmented"
)</f>
        <v>Other or fragmented</v>
      </c>
      <c r="O278" s="3" t="s">
        <v>96</v>
      </c>
      <c r="P278" s="3"/>
    </row>
    <row r="279" spans="1:16" x14ac:dyDescent="0.25">
      <c r="A279" t="s">
        <v>15</v>
      </c>
      <c r="B279" s="1">
        <v>45992</v>
      </c>
      <c r="C279" s="1">
        <v>46022</v>
      </c>
      <c r="E279" t="s">
        <v>24</v>
      </c>
      <c r="F279" t="s">
        <v>415</v>
      </c>
      <c r="G279">
        <v>0</v>
      </c>
      <c r="J279">
        <v>0</v>
      </c>
      <c r="K279">
        <v>0</v>
      </c>
      <c r="L279" t="s">
        <v>416</v>
      </c>
      <c r="M279" s="10" t="s">
        <v>19</v>
      </c>
      <c r="N279" s="3" t="str" cm="1">
        <f t="array" ref="N279">_xlfn.IFS(
OR(ISNUMBER(SEARCH("email",D279)),ISNUMBER(SEARCH("email",F279)),ISNUMBER(SEARCH("polish",D279)),ISNUMBER(SEARCH("rewrite",F279)),ISNUMBER(SEARCH("copy",F279))),"Writing and comms",
OR(ISNUMBER(SEARCH("research",F279)),ISNUMBER(SEARCH("intel",F279)),ISNUMBER(SEARCH("company",D279)),ISNUMBER(SEARCH("digger",D279))),"Research and intel",
OR(ISNUMBER(SEARCH("prompt",D279)),ISNUMBER(SEARCH("prompt",F279))),"Prompting help",
OR(ISNUMBER(SEARCH("role",D279)),ISNUMBER(SEARCH("scorecard",F279)),ISNUMBER(SEARCH("competenc",F279))),"Role and leadership advisory",
OR(ISNUMBER(SEARCH("meeting",F279)),ISNUMBER(SEARCH("notes",F279)),ISNUMBER(SEARCH("summary",F279))),"Meeting notes and summarization",
TRUE,"Other or fragmented"
)</f>
        <v>Other or fragmented</v>
      </c>
      <c r="O279" s="3" t="s">
        <v>96</v>
      </c>
      <c r="P279" s="3"/>
    </row>
    <row r="280" spans="1:16" x14ac:dyDescent="0.25">
      <c r="A280" t="s">
        <v>15</v>
      </c>
      <c r="B280" s="1">
        <v>45992</v>
      </c>
      <c r="C280" s="1">
        <v>46022</v>
      </c>
      <c r="E280" t="s">
        <v>24</v>
      </c>
      <c r="G280">
        <v>0</v>
      </c>
      <c r="J280">
        <v>0</v>
      </c>
      <c r="K280">
        <v>0</v>
      </c>
      <c r="L280" t="s">
        <v>417</v>
      </c>
      <c r="M280" s="9" t="s">
        <v>19</v>
      </c>
      <c r="N280" s="3" t="str" cm="1">
        <f t="array" ref="N280">_xlfn.IFS(
OR(ISNUMBER(SEARCH("email",D280)),ISNUMBER(SEARCH("email",F280)),ISNUMBER(SEARCH("polish",D280)),ISNUMBER(SEARCH("rewrite",F280)),ISNUMBER(SEARCH("copy",F280))),"Writing and comms",
OR(ISNUMBER(SEARCH("research",F280)),ISNUMBER(SEARCH("intel",F280)),ISNUMBER(SEARCH("company",D280)),ISNUMBER(SEARCH("digger",D280))),"Research and intel",
OR(ISNUMBER(SEARCH("prompt",D280)),ISNUMBER(SEARCH("prompt",F280))),"Prompting help",
OR(ISNUMBER(SEARCH("role",D280)),ISNUMBER(SEARCH("scorecard",F280)),ISNUMBER(SEARCH("competenc",F280))),"Role and leadership advisory",
OR(ISNUMBER(SEARCH("meeting",F280)),ISNUMBER(SEARCH("notes",F280)),ISNUMBER(SEARCH("summary",F280))),"Meeting notes and summarization",
TRUE,"Other or fragmented"
)</f>
        <v>Other or fragmented</v>
      </c>
      <c r="O280" s="3" t="s">
        <v>96</v>
      </c>
      <c r="P280" s="3"/>
    </row>
    <row r="281" spans="1:16" x14ac:dyDescent="0.25">
      <c r="A281" t="s">
        <v>15</v>
      </c>
      <c r="B281" s="1">
        <v>45992</v>
      </c>
      <c r="C281" s="1">
        <v>46022</v>
      </c>
      <c r="E281" t="s">
        <v>24</v>
      </c>
      <c r="G281">
        <v>0</v>
      </c>
      <c r="J281">
        <v>0</v>
      </c>
      <c r="K281">
        <v>0</v>
      </c>
      <c r="L281" t="s">
        <v>418</v>
      </c>
      <c r="M281" s="10" t="s">
        <v>19</v>
      </c>
      <c r="N281" s="3" t="str" cm="1">
        <f t="array" ref="N281">_xlfn.IFS(
OR(ISNUMBER(SEARCH("email",D281)),ISNUMBER(SEARCH("email",F281)),ISNUMBER(SEARCH("polish",D281)),ISNUMBER(SEARCH("rewrite",F281)),ISNUMBER(SEARCH("copy",F281))),"Writing and comms",
OR(ISNUMBER(SEARCH("research",F281)),ISNUMBER(SEARCH("intel",F281)),ISNUMBER(SEARCH("company",D281)),ISNUMBER(SEARCH("digger",D281))),"Research and intel",
OR(ISNUMBER(SEARCH("prompt",D281)),ISNUMBER(SEARCH("prompt",F281))),"Prompting help",
OR(ISNUMBER(SEARCH("role",D281)),ISNUMBER(SEARCH("scorecard",F281)),ISNUMBER(SEARCH("competenc",F281))),"Role and leadership advisory",
OR(ISNUMBER(SEARCH("meeting",F281)),ISNUMBER(SEARCH("notes",F281)),ISNUMBER(SEARCH("summary",F281))),"Meeting notes and summarization",
TRUE,"Other or fragmented"
)</f>
        <v>Other or fragmented</v>
      </c>
      <c r="O281" s="3" t="s">
        <v>96</v>
      </c>
      <c r="P281" s="3"/>
    </row>
    <row r="282" spans="1:16" x14ac:dyDescent="0.25">
      <c r="A282" t="s">
        <v>15</v>
      </c>
      <c r="B282" s="1">
        <v>45992</v>
      </c>
      <c r="C282" s="1">
        <v>46022</v>
      </c>
      <c r="E282" t="s">
        <v>24</v>
      </c>
      <c r="G282">
        <v>0</v>
      </c>
      <c r="J282">
        <v>0</v>
      </c>
      <c r="K282">
        <v>0</v>
      </c>
      <c r="L282" t="s">
        <v>419</v>
      </c>
      <c r="M282" s="9" t="s">
        <v>19</v>
      </c>
      <c r="N282" s="3" t="str" cm="1">
        <f t="array" ref="N282">_xlfn.IFS(
OR(ISNUMBER(SEARCH("email",D282)),ISNUMBER(SEARCH("email",F282)),ISNUMBER(SEARCH("polish",D282)),ISNUMBER(SEARCH("rewrite",F282)),ISNUMBER(SEARCH("copy",F282))),"Writing and comms",
OR(ISNUMBER(SEARCH("research",F282)),ISNUMBER(SEARCH("intel",F282)),ISNUMBER(SEARCH("company",D282)),ISNUMBER(SEARCH("digger",D282))),"Research and intel",
OR(ISNUMBER(SEARCH("prompt",D282)),ISNUMBER(SEARCH("prompt",F282))),"Prompting help",
OR(ISNUMBER(SEARCH("role",D282)),ISNUMBER(SEARCH("scorecard",F282)),ISNUMBER(SEARCH("competenc",F282))),"Role and leadership advisory",
OR(ISNUMBER(SEARCH("meeting",F282)),ISNUMBER(SEARCH("notes",F282)),ISNUMBER(SEARCH("summary",F282))),"Meeting notes and summarization",
TRUE,"Other or fragmented"
)</f>
        <v>Other or fragmented</v>
      </c>
      <c r="O282" s="3" t="s">
        <v>96</v>
      </c>
      <c r="P282" s="3"/>
    </row>
    <row r="283" spans="1:16" x14ac:dyDescent="0.25">
      <c r="A283" t="s">
        <v>15</v>
      </c>
      <c r="B283" s="1">
        <v>45992</v>
      </c>
      <c r="C283" s="1">
        <v>46022</v>
      </c>
      <c r="E283" t="s">
        <v>24</v>
      </c>
      <c r="G283">
        <v>0</v>
      </c>
      <c r="J283">
        <v>0</v>
      </c>
      <c r="K283">
        <v>0</v>
      </c>
      <c r="L283" t="s">
        <v>420</v>
      </c>
      <c r="M283" s="10" t="s">
        <v>19</v>
      </c>
      <c r="N283" s="3" t="str" cm="1">
        <f t="array" ref="N283">_xlfn.IFS(
OR(ISNUMBER(SEARCH("email",D283)),ISNUMBER(SEARCH("email",F283)),ISNUMBER(SEARCH("polish",D283)),ISNUMBER(SEARCH("rewrite",F283)),ISNUMBER(SEARCH("copy",F283))),"Writing and comms",
OR(ISNUMBER(SEARCH("research",F283)),ISNUMBER(SEARCH("intel",F283)),ISNUMBER(SEARCH("company",D283)),ISNUMBER(SEARCH("digger",D283))),"Research and intel",
OR(ISNUMBER(SEARCH("prompt",D283)),ISNUMBER(SEARCH("prompt",F283))),"Prompting help",
OR(ISNUMBER(SEARCH("role",D283)),ISNUMBER(SEARCH("scorecard",F283)),ISNUMBER(SEARCH("competenc",F283))),"Role and leadership advisory",
OR(ISNUMBER(SEARCH("meeting",F283)),ISNUMBER(SEARCH("notes",F283)),ISNUMBER(SEARCH("summary",F283))),"Meeting notes and summarization",
TRUE,"Other or fragmented"
)</f>
        <v>Other or fragmented</v>
      </c>
      <c r="O283" s="3" t="s">
        <v>96</v>
      </c>
      <c r="P283" s="3"/>
    </row>
    <row r="284" spans="1:16" x14ac:dyDescent="0.25">
      <c r="A284" t="s">
        <v>15</v>
      </c>
      <c r="B284" s="1">
        <v>45992</v>
      </c>
      <c r="C284" s="1">
        <v>46022</v>
      </c>
      <c r="D284" t="s">
        <v>421</v>
      </c>
      <c r="E284" t="s">
        <v>17</v>
      </c>
      <c r="G284">
        <v>1</v>
      </c>
      <c r="H284" s="1">
        <v>46014</v>
      </c>
      <c r="I284" s="1">
        <v>46014</v>
      </c>
      <c r="J284">
        <v>1</v>
      </c>
      <c r="K284">
        <v>1</v>
      </c>
      <c r="L284" t="s">
        <v>422</v>
      </c>
      <c r="M284" s="9" t="s">
        <v>19</v>
      </c>
      <c r="N284" s="3" t="str" cm="1">
        <f t="array" ref="N284">_xlfn.IFS(
OR(ISNUMBER(SEARCH("email",D284)),ISNUMBER(SEARCH("email",F284)),ISNUMBER(SEARCH("polish",D284)),ISNUMBER(SEARCH("rewrite",F284)),ISNUMBER(SEARCH("copy",F284))),"Writing and comms",
OR(ISNUMBER(SEARCH("research",F284)),ISNUMBER(SEARCH("intel",F284)),ISNUMBER(SEARCH("company",D284)),ISNUMBER(SEARCH("digger",D284))),"Research and intel",
OR(ISNUMBER(SEARCH("prompt",D284)),ISNUMBER(SEARCH("prompt",F284))),"Prompting help",
OR(ISNUMBER(SEARCH("role",D284)),ISNUMBER(SEARCH("scorecard",F284)),ISNUMBER(SEARCH("competenc",F284))),"Role and leadership advisory",
OR(ISNUMBER(SEARCH("meeting",F284)),ISNUMBER(SEARCH("notes",F284)),ISNUMBER(SEARCH("summary",F284))),"Meeting notes and summarization",
TRUE,"Other or fragmented"
)</f>
        <v>Other or fragmented</v>
      </c>
      <c r="O284" s="3" t="s">
        <v>96</v>
      </c>
      <c r="P284" s="3"/>
    </row>
    <row r="285" spans="1:16" x14ac:dyDescent="0.25">
      <c r="A285" t="s">
        <v>15</v>
      </c>
      <c r="B285" s="1">
        <v>45992</v>
      </c>
      <c r="C285" s="1">
        <v>46022</v>
      </c>
      <c r="D285" t="s">
        <v>423</v>
      </c>
      <c r="E285" t="s">
        <v>17</v>
      </c>
      <c r="F285" t="s">
        <v>424</v>
      </c>
      <c r="G285">
        <v>1</v>
      </c>
      <c r="H285" s="1">
        <v>46007</v>
      </c>
      <c r="I285" s="1">
        <v>46007</v>
      </c>
      <c r="J285">
        <v>15</v>
      </c>
      <c r="K285">
        <v>1</v>
      </c>
      <c r="L285" t="s">
        <v>422</v>
      </c>
      <c r="M285" s="10" t="s">
        <v>19</v>
      </c>
      <c r="N285" s="3" t="str" cm="1">
        <f t="array" ref="N285">_xlfn.IFS(
OR(ISNUMBER(SEARCH("email",D285)),ISNUMBER(SEARCH("email",F285)),ISNUMBER(SEARCH("polish",D285)),ISNUMBER(SEARCH("rewrite",F285)),ISNUMBER(SEARCH("copy",F285))),"Writing and comms",
OR(ISNUMBER(SEARCH("research",F285)),ISNUMBER(SEARCH("intel",F285)),ISNUMBER(SEARCH("company",D285)),ISNUMBER(SEARCH("digger",D285))),"Research and intel",
OR(ISNUMBER(SEARCH("prompt",D285)),ISNUMBER(SEARCH("prompt",F285))),"Prompting help",
OR(ISNUMBER(SEARCH("role",D285)),ISNUMBER(SEARCH("scorecard",F285)),ISNUMBER(SEARCH("competenc",F285))),"Role and leadership advisory",
OR(ISNUMBER(SEARCH("meeting",F285)),ISNUMBER(SEARCH("notes",F285)),ISNUMBER(SEARCH("summary",F285))),"Meeting notes and summarization",
TRUE,"Other or fragmented"
)</f>
        <v>Other or fragmented</v>
      </c>
      <c r="O285" s="3" t="s">
        <v>96</v>
      </c>
      <c r="P285" s="3"/>
    </row>
    <row r="286" spans="1:16" x14ac:dyDescent="0.25">
      <c r="A286" t="s">
        <v>15</v>
      </c>
      <c r="B286" s="1">
        <v>45992</v>
      </c>
      <c r="C286" s="1">
        <v>46022</v>
      </c>
      <c r="D286" t="s">
        <v>425</v>
      </c>
      <c r="E286" t="s">
        <v>17</v>
      </c>
      <c r="F286" t="s">
        <v>426</v>
      </c>
      <c r="G286">
        <v>1</v>
      </c>
      <c r="H286" s="1">
        <v>45992</v>
      </c>
      <c r="I286" s="1">
        <v>46021</v>
      </c>
      <c r="J286">
        <v>368</v>
      </c>
      <c r="K286">
        <v>1</v>
      </c>
      <c r="L286" t="s">
        <v>422</v>
      </c>
      <c r="M286" s="9" t="s">
        <v>19</v>
      </c>
      <c r="N286" s="3" t="str" cm="1">
        <f t="array" ref="N286">_xlfn.IFS(
OR(ISNUMBER(SEARCH("email",D286)),ISNUMBER(SEARCH("email",F286)),ISNUMBER(SEARCH("polish",D286)),ISNUMBER(SEARCH("rewrite",F286)),ISNUMBER(SEARCH("copy",F286))),"Writing and comms",
OR(ISNUMBER(SEARCH("research",F286)),ISNUMBER(SEARCH("intel",F286)),ISNUMBER(SEARCH("company",D286)),ISNUMBER(SEARCH("digger",D286))),"Research and intel",
OR(ISNUMBER(SEARCH("prompt",D286)),ISNUMBER(SEARCH("prompt",F286))),"Prompting help",
OR(ISNUMBER(SEARCH("role",D286)),ISNUMBER(SEARCH("scorecard",F286)),ISNUMBER(SEARCH("competenc",F286))),"Role and leadership advisory",
OR(ISNUMBER(SEARCH("meeting",F286)),ISNUMBER(SEARCH("notes",F286)),ISNUMBER(SEARCH("summary",F286))),"Meeting notes and summarization",
TRUE,"Other or fragmented"
)</f>
        <v>Writing and comms</v>
      </c>
      <c r="O286" s="3" t="s">
        <v>96</v>
      </c>
      <c r="P286" s="3"/>
    </row>
    <row r="287" spans="1:16" x14ac:dyDescent="0.25">
      <c r="A287" t="s">
        <v>15</v>
      </c>
      <c r="B287" s="1">
        <v>45992</v>
      </c>
      <c r="C287" s="1">
        <v>46022</v>
      </c>
      <c r="D287" t="s">
        <v>427</v>
      </c>
      <c r="E287" t="s">
        <v>17</v>
      </c>
      <c r="F287" t="s">
        <v>428</v>
      </c>
      <c r="G287">
        <v>0</v>
      </c>
      <c r="J287">
        <v>0</v>
      </c>
      <c r="K287">
        <v>0</v>
      </c>
      <c r="L287" t="s">
        <v>422</v>
      </c>
      <c r="M287" s="10" t="s">
        <v>19</v>
      </c>
      <c r="N287" s="3" t="str" cm="1">
        <f t="array" ref="N287">_xlfn.IFS(
OR(ISNUMBER(SEARCH("email",D287)),ISNUMBER(SEARCH("email",F287)),ISNUMBER(SEARCH("polish",D287)),ISNUMBER(SEARCH("rewrite",F287)),ISNUMBER(SEARCH("copy",F287))),"Writing and comms",
OR(ISNUMBER(SEARCH("research",F287)),ISNUMBER(SEARCH("intel",F287)),ISNUMBER(SEARCH("company",D287)),ISNUMBER(SEARCH("digger",D287))),"Research and intel",
OR(ISNUMBER(SEARCH("prompt",D287)),ISNUMBER(SEARCH("prompt",F287))),"Prompting help",
OR(ISNUMBER(SEARCH("role",D287)),ISNUMBER(SEARCH("scorecard",F287)),ISNUMBER(SEARCH("competenc",F287))),"Role and leadership advisory",
OR(ISNUMBER(SEARCH("meeting",F287)),ISNUMBER(SEARCH("notes",F287)),ISNUMBER(SEARCH("summary",F287))),"Meeting notes and summarization",
TRUE,"Other or fragmented"
)</f>
        <v>Role and leadership advisory</v>
      </c>
      <c r="O287" s="3" t="s">
        <v>96</v>
      </c>
      <c r="P287" s="3"/>
    </row>
    <row r="288" spans="1:16" x14ac:dyDescent="0.25">
      <c r="A288" t="s">
        <v>15</v>
      </c>
      <c r="B288" s="1">
        <v>45992</v>
      </c>
      <c r="C288" s="1">
        <v>46022</v>
      </c>
      <c r="E288" t="s">
        <v>24</v>
      </c>
      <c r="G288">
        <v>0</v>
      </c>
      <c r="J288">
        <v>0</v>
      </c>
      <c r="K288">
        <v>0</v>
      </c>
      <c r="L288" t="s">
        <v>422</v>
      </c>
      <c r="M288" s="9" t="s">
        <v>19</v>
      </c>
      <c r="N288" s="3" t="str" cm="1">
        <f t="array" ref="N288">_xlfn.IFS(
OR(ISNUMBER(SEARCH("email",D288)),ISNUMBER(SEARCH("email",F288)),ISNUMBER(SEARCH("polish",D288)),ISNUMBER(SEARCH("rewrite",F288)),ISNUMBER(SEARCH("copy",F288))),"Writing and comms",
OR(ISNUMBER(SEARCH("research",F288)),ISNUMBER(SEARCH("intel",F288)),ISNUMBER(SEARCH("company",D288)),ISNUMBER(SEARCH("digger",D288))),"Research and intel",
OR(ISNUMBER(SEARCH("prompt",D288)),ISNUMBER(SEARCH("prompt",F288))),"Prompting help",
OR(ISNUMBER(SEARCH("role",D288)),ISNUMBER(SEARCH("scorecard",F288)),ISNUMBER(SEARCH("competenc",F288))),"Role and leadership advisory",
OR(ISNUMBER(SEARCH("meeting",F288)),ISNUMBER(SEARCH("notes",F288)),ISNUMBER(SEARCH("summary",F288))),"Meeting notes and summarization",
TRUE,"Other or fragmented"
)</f>
        <v>Other or fragmented</v>
      </c>
      <c r="O288" s="3" t="s">
        <v>96</v>
      </c>
      <c r="P288" s="3"/>
    </row>
    <row r="289" spans="1:16" x14ac:dyDescent="0.25">
      <c r="A289" t="s">
        <v>15</v>
      </c>
      <c r="B289" s="1">
        <v>45992</v>
      </c>
      <c r="C289" s="1">
        <v>46022</v>
      </c>
      <c r="E289" t="s">
        <v>24</v>
      </c>
      <c r="F289" t="s">
        <v>429</v>
      </c>
      <c r="G289">
        <v>0</v>
      </c>
      <c r="J289">
        <v>0</v>
      </c>
      <c r="K289">
        <v>0</v>
      </c>
      <c r="L289" t="s">
        <v>422</v>
      </c>
      <c r="M289" s="10" t="s">
        <v>19</v>
      </c>
      <c r="N289" s="3" t="str" cm="1">
        <f t="array" ref="N289">_xlfn.IFS(
OR(ISNUMBER(SEARCH("email",D289)),ISNUMBER(SEARCH("email",F289)),ISNUMBER(SEARCH("polish",D289)),ISNUMBER(SEARCH("rewrite",F289)),ISNUMBER(SEARCH("copy",F289))),"Writing and comms",
OR(ISNUMBER(SEARCH("research",F289)),ISNUMBER(SEARCH("intel",F289)),ISNUMBER(SEARCH("company",D289)),ISNUMBER(SEARCH("digger",D289))),"Research and intel",
OR(ISNUMBER(SEARCH("prompt",D289)),ISNUMBER(SEARCH("prompt",F289))),"Prompting help",
OR(ISNUMBER(SEARCH("role",D289)),ISNUMBER(SEARCH("scorecard",F289)),ISNUMBER(SEARCH("competenc",F289))),"Role and leadership advisory",
OR(ISNUMBER(SEARCH("meeting",F289)),ISNUMBER(SEARCH("notes",F289)),ISNUMBER(SEARCH("summary",F289))),"Meeting notes and summarization",
TRUE,"Other or fragmented"
)</f>
        <v>Other or fragmented</v>
      </c>
      <c r="O289" s="3" t="s">
        <v>96</v>
      </c>
      <c r="P289" s="3"/>
    </row>
    <row r="290" spans="1:16" x14ac:dyDescent="0.25">
      <c r="A290" t="s">
        <v>15</v>
      </c>
      <c r="B290" s="1">
        <v>45992</v>
      </c>
      <c r="C290" s="1">
        <v>46022</v>
      </c>
      <c r="D290" t="s">
        <v>430</v>
      </c>
      <c r="E290" t="s">
        <v>17</v>
      </c>
      <c r="F290" t="s">
        <v>431</v>
      </c>
      <c r="G290">
        <v>0</v>
      </c>
      <c r="J290">
        <v>0</v>
      </c>
      <c r="K290">
        <v>0</v>
      </c>
      <c r="L290" t="s">
        <v>422</v>
      </c>
      <c r="M290" s="9" t="s">
        <v>19</v>
      </c>
      <c r="N290" s="3" t="str" cm="1">
        <f t="array" ref="N290">_xlfn.IFS(
OR(ISNUMBER(SEARCH("email",D290)),ISNUMBER(SEARCH("email",F290)),ISNUMBER(SEARCH("polish",D290)),ISNUMBER(SEARCH("rewrite",F290)),ISNUMBER(SEARCH("copy",F290))),"Writing and comms",
OR(ISNUMBER(SEARCH("research",F290)),ISNUMBER(SEARCH("intel",F290)),ISNUMBER(SEARCH("company",D290)),ISNUMBER(SEARCH("digger",D290))),"Research and intel",
OR(ISNUMBER(SEARCH("prompt",D290)),ISNUMBER(SEARCH("prompt",F290))),"Prompting help",
OR(ISNUMBER(SEARCH("role",D290)),ISNUMBER(SEARCH("scorecard",F290)),ISNUMBER(SEARCH("competenc",F290))),"Role and leadership advisory",
OR(ISNUMBER(SEARCH("meeting",F290)),ISNUMBER(SEARCH("notes",F290)),ISNUMBER(SEARCH("summary",F290))),"Meeting notes and summarization",
TRUE,"Other or fragmented"
)</f>
        <v>Other or fragmented</v>
      </c>
      <c r="O290" s="3" t="s">
        <v>96</v>
      </c>
      <c r="P290" s="3"/>
    </row>
    <row r="291" spans="1:16" x14ac:dyDescent="0.25">
      <c r="A291" t="s">
        <v>15</v>
      </c>
      <c r="B291" s="1">
        <v>45992</v>
      </c>
      <c r="C291" s="1">
        <v>46022</v>
      </c>
      <c r="E291" t="s">
        <v>24</v>
      </c>
      <c r="G291">
        <v>0</v>
      </c>
      <c r="J291">
        <v>0</v>
      </c>
      <c r="K291">
        <v>0</v>
      </c>
      <c r="L291" t="s">
        <v>422</v>
      </c>
      <c r="M291" s="10" t="s">
        <v>19</v>
      </c>
      <c r="N291" s="3" t="str" cm="1">
        <f t="array" ref="N291">_xlfn.IFS(
OR(ISNUMBER(SEARCH("email",D291)),ISNUMBER(SEARCH("email",F291)),ISNUMBER(SEARCH("polish",D291)),ISNUMBER(SEARCH("rewrite",F291)),ISNUMBER(SEARCH("copy",F291))),"Writing and comms",
OR(ISNUMBER(SEARCH("research",F291)),ISNUMBER(SEARCH("intel",F291)),ISNUMBER(SEARCH("company",D291)),ISNUMBER(SEARCH("digger",D291))),"Research and intel",
OR(ISNUMBER(SEARCH("prompt",D291)),ISNUMBER(SEARCH("prompt",F291))),"Prompting help",
OR(ISNUMBER(SEARCH("role",D291)),ISNUMBER(SEARCH("scorecard",F291)),ISNUMBER(SEARCH("competenc",F291))),"Role and leadership advisory",
OR(ISNUMBER(SEARCH("meeting",F291)),ISNUMBER(SEARCH("notes",F291)),ISNUMBER(SEARCH("summary",F291))),"Meeting notes and summarization",
TRUE,"Other or fragmented"
)</f>
        <v>Other or fragmented</v>
      </c>
      <c r="O291" s="3" t="s">
        <v>96</v>
      </c>
      <c r="P291" s="3"/>
    </row>
    <row r="292" spans="1:16" x14ac:dyDescent="0.25">
      <c r="A292" t="s">
        <v>15</v>
      </c>
      <c r="B292" s="1">
        <v>45992</v>
      </c>
      <c r="C292" s="1">
        <v>46022</v>
      </c>
      <c r="E292" t="s">
        <v>24</v>
      </c>
      <c r="F292" t="s">
        <v>432</v>
      </c>
      <c r="G292">
        <v>0</v>
      </c>
      <c r="J292">
        <v>0</v>
      </c>
      <c r="K292">
        <v>0</v>
      </c>
      <c r="L292" t="s">
        <v>422</v>
      </c>
      <c r="M292" s="9" t="s">
        <v>19</v>
      </c>
      <c r="N292" s="3" t="str" cm="1">
        <f t="array" ref="N292">_xlfn.IFS(
OR(ISNUMBER(SEARCH("email",D292)),ISNUMBER(SEARCH("email",F292)),ISNUMBER(SEARCH("polish",D292)),ISNUMBER(SEARCH("rewrite",F292)),ISNUMBER(SEARCH("copy",F292))),"Writing and comms",
OR(ISNUMBER(SEARCH("research",F292)),ISNUMBER(SEARCH("intel",F292)),ISNUMBER(SEARCH("company",D292)),ISNUMBER(SEARCH("digger",D292))),"Research and intel",
OR(ISNUMBER(SEARCH("prompt",D292)),ISNUMBER(SEARCH("prompt",F292))),"Prompting help",
OR(ISNUMBER(SEARCH("role",D292)),ISNUMBER(SEARCH("scorecard",F292)),ISNUMBER(SEARCH("competenc",F292))),"Role and leadership advisory",
OR(ISNUMBER(SEARCH("meeting",F292)),ISNUMBER(SEARCH("notes",F292)),ISNUMBER(SEARCH("summary",F292))),"Meeting notes and summarization",
TRUE,"Other or fragmented"
)</f>
        <v>Other or fragmented</v>
      </c>
      <c r="O292" s="3" t="s">
        <v>96</v>
      </c>
      <c r="P292" s="3"/>
    </row>
    <row r="293" spans="1:16" x14ac:dyDescent="0.25">
      <c r="A293" t="s">
        <v>15</v>
      </c>
      <c r="B293" s="1">
        <v>45992</v>
      </c>
      <c r="C293" s="1">
        <v>46022</v>
      </c>
      <c r="D293" t="s">
        <v>433</v>
      </c>
      <c r="E293" t="s">
        <v>17</v>
      </c>
      <c r="F293" t="s">
        <v>434</v>
      </c>
      <c r="G293">
        <v>0</v>
      </c>
      <c r="J293">
        <v>0</v>
      </c>
      <c r="K293">
        <v>0</v>
      </c>
      <c r="L293" t="s">
        <v>435</v>
      </c>
      <c r="M293" s="10" t="s">
        <v>19</v>
      </c>
      <c r="N293" s="3" t="str" cm="1">
        <f t="array" ref="N293">_xlfn.IFS(
OR(ISNUMBER(SEARCH("email",D293)),ISNUMBER(SEARCH("email",F293)),ISNUMBER(SEARCH("polish",D293)),ISNUMBER(SEARCH("rewrite",F293)),ISNUMBER(SEARCH("copy",F293))),"Writing and comms",
OR(ISNUMBER(SEARCH("research",F293)),ISNUMBER(SEARCH("intel",F293)),ISNUMBER(SEARCH("company",D293)),ISNUMBER(SEARCH("digger",D293))),"Research and intel",
OR(ISNUMBER(SEARCH("prompt",D293)),ISNUMBER(SEARCH("prompt",F293))),"Prompting help",
OR(ISNUMBER(SEARCH("role",D293)),ISNUMBER(SEARCH("scorecard",F293)),ISNUMBER(SEARCH("competenc",F293))),"Role and leadership advisory",
OR(ISNUMBER(SEARCH("meeting",F293)),ISNUMBER(SEARCH("notes",F293)),ISNUMBER(SEARCH("summary",F293))),"Meeting notes and summarization",
TRUE,"Other or fragmented"
)</f>
        <v>Other or fragmented</v>
      </c>
      <c r="O293" s="3" t="s">
        <v>96</v>
      </c>
      <c r="P293" s="3"/>
    </row>
    <row r="294" spans="1:16" x14ac:dyDescent="0.25">
      <c r="A294" t="s">
        <v>15</v>
      </c>
      <c r="B294" s="1">
        <v>45992</v>
      </c>
      <c r="C294" s="1">
        <v>46022</v>
      </c>
      <c r="E294" t="s">
        <v>24</v>
      </c>
      <c r="G294">
        <v>0</v>
      </c>
      <c r="J294">
        <v>0</v>
      </c>
      <c r="K294">
        <v>0</v>
      </c>
      <c r="L294" t="s">
        <v>436</v>
      </c>
      <c r="M294" s="9" t="s">
        <v>19</v>
      </c>
      <c r="N294" s="3" t="str" cm="1">
        <f t="array" ref="N294">_xlfn.IFS(
OR(ISNUMBER(SEARCH("email",D294)),ISNUMBER(SEARCH("email",F294)),ISNUMBER(SEARCH("polish",D294)),ISNUMBER(SEARCH("rewrite",F294)),ISNUMBER(SEARCH("copy",F294))),"Writing and comms",
OR(ISNUMBER(SEARCH("research",F294)),ISNUMBER(SEARCH("intel",F294)),ISNUMBER(SEARCH("company",D294)),ISNUMBER(SEARCH("digger",D294))),"Research and intel",
OR(ISNUMBER(SEARCH("prompt",D294)),ISNUMBER(SEARCH("prompt",F294))),"Prompting help",
OR(ISNUMBER(SEARCH("role",D294)),ISNUMBER(SEARCH("scorecard",F294)),ISNUMBER(SEARCH("competenc",F294))),"Role and leadership advisory",
OR(ISNUMBER(SEARCH("meeting",F294)),ISNUMBER(SEARCH("notes",F294)),ISNUMBER(SEARCH("summary",F294))),"Meeting notes and summarization",
TRUE,"Other or fragmented"
)</f>
        <v>Other or fragmented</v>
      </c>
      <c r="O294" s="3" t="s">
        <v>96</v>
      </c>
      <c r="P294" s="3"/>
    </row>
    <row r="295" spans="1:16" x14ac:dyDescent="0.25">
      <c r="A295" t="s">
        <v>15</v>
      </c>
      <c r="B295" s="1">
        <v>45992</v>
      </c>
      <c r="C295" s="1">
        <v>46022</v>
      </c>
      <c r="D295" t="s">
        <v>437</v>
      </c>
      <c r="E295" t="s">
        <v>17</v>
      </c>
      <c r="G295">
        <v>1</v>
      </c>
      <c r="H295" s="1">
        <v>45992</v>
      </c>
      <c r="I295" s="1">
        <v>45992</v>
      </c>
      <c r="J295">
        <v>3</v>
      </c>
      <c r="K295">
        <v>1</v>
      </c>
      <c r="L295" t="s">
        <v>438</v>
      </c>
      <c r="M295" s="10" t="s">
        <v>19</v>
      </c>
      <c r="N295" s="3" t="str" cm="1">
        <f t="array" ref="N295">_xlfn.IFS(
OR(ISNUMBER(SEARCH("email",D295)),ISNUMBER(SEARCH("email",F295)),ISNUMBER(SEARCH("polish",D295)),ISNUMBER(SEARCH("rewrite",F295)),ISNUMBER(SEARCH("copy",F295))),"Writing and comms",
OR(ISNUMBER(SEARCH("research",F295)),ISNUMBER(SEARCH("intel",F295)),ISNUMBER(SEARCH("company",D295)),ISNUMBER(SEARCH("digger",D295))),"Research and intel",
OR(ISNUMBER(SEARCH("prompt",D295)),ISNUMBER(SEARCH("prompt",F295))),"Prompting help",
OR(ISNUMBER(SEARCH("role",D295)),ISNUMBER(SEARCH("scorecard",F295)),ISNUMBER(SEARCH("competenc",F295))),"Role and leadership advisory",
OR(ISNUMBER(SEARCH("meeting",F295)),ISNUMBER(SEARCH("notes",F295)),ISNUMBER(SEARCH("summary",F295))),"Meeting notes and summarization",
TRUE,"Other or fragmented"
)</f>
        <v>Other or fragmented</v>
      </c>
      <c r="O295" s="3" t="s">
        <v>96</v>
      </c>
      <c r="P295" s="3"/>
    </row>
    <row r="296" spans="1:16" x14ac:dyDescent="0.25">
      <c r="A296" t="s">
        <v>15</v>
      </c>
      <c r="B296" s="1">
        <v>45992</v>
      </c>
      <c r="C296" s="1">
        <v>46022</v>
      </c>
      <c r="D296" t="s">
        <v>439</v>
      </c>
      <c r="E296" t="s">
        <v>17</v>
      </c>
      <c r="G296">
        <v>1</v>
      </c>
      <c r="H296" s="1">
        <v>45992</v>
      </c>
      <c r="I296" s="1">
        <v>46013</v>
      </c>
      <c r="J296">
        <v>102</v>
      </c>
      <c r="K296">
        <v>1</v>
      </c>
      <c r="L296" t="s">
        <v>438</v>
      </c>
      <c r="M296" s="9" t="s">
        <v>19</v>
      </c>
      <c r="N296" s="3" t="str" cm="1">
        <f t="array" ref="N296">_xlfn.IFS(
OR(ISNUMBER(SEARCH("email",D296)),ISNUMBER(SEARCH("email",F296)),ISNUMBER(SEARCH("polish",D296)),ISNUMBER(SEARCH("rewrite",F296)),ISNUMBER(SEARCH("copy",F296))),"Writing and comms",
OR(ISNUMBER(SEARCH("research",F296)),ISNUMBER(SEARCH("intel",F296)),ISNUMBER(SEARCH("company",D296)),ISNUMBER(SEARCH("digger",D296))),"Research and intel",
OR(ISNUMBER(SEARCH("prompt",D296)),ISNUMBER(SEARCH("prompt",F296))),"Prompting help",
OR(ISNUMBER(SEARCH("role",D296)),ISNUMBER(SEARCH("scorecard",F296)),ISNUMBER(SEARCH("competenc",F296))),"Role and leadership advisory",
OR(ISNUMBER(SEARCH("meeting",F296)),ISNUMBER(SEARCH("notes",F296)),ISNUMBER(SEARCH("summary",F296))),"Meeting notes and summarization",
TRUE,"Other or fragmented"
)</f>
        <v>Other or fragmented</v>
      </c>
      <c r="O296" s="3" t="s">
        <v>96</v>
      </c>
      <c r="P296" s="3"/>
    </row>
    <row r="297" spans="1:16" x14ac:dyDescent="0.25">
      <c r="A297" t="s">
        <v>15</v>
      </c>
      <c r="B297" s="1">
        <v>45992</v>
      </c>
      <c r="C297" s="1">
        <v>46022</v>
      </c>
      <c r="D297" t="s">
        <v>440</v>
      </c>
      <c r="E297" t="s">
        <v>17</v>
      </c>
      <c r="G297">
        <v>0</v>
      </c>
      <c r="J297">
        <v>0</v>
      </c>
      <c r="K297">
        <v>0</v>
      </c>
      <c r="L297" t="s">
        <v>438</v>
      </c>
      <c r="M297" s="10" t="s">
        <v>19</v>
      </c>
      <c r="N297" s="3" t="str" cm="1">
        <f t="array" ref="N297">_xlfn.IFS(
OR(ISNUMBER(SEARCH("email",D297)),ISNUMBER(SEARCH("email",F297)),ISNUMBER(SEARCH("polish",D297)),ISNUMBER(SEARCH("rewrite",F297)),ISNUMBER(SEARCH("copy",F297))),"Writing and comms",
OR(ISNUMBER(SEARCH("research",F297)),ISNUMBER(SEARCH("intel",F297)),ISNUMBER(SEARCH("company",D297)),ISNUMBER(SEARCH("digger",D297))),"Research and intel",
OR(ISNUMBER(SEARCH("prompt",D297)),ISNUMBER(SEARCH("prompt",F297))),"Prompting help",
OR(ISNUMBER(SEARCH("role",D297)),ISNUMBER(SEARCH("scorecard",F297)),ISNUMBER(SEARCH("competenc",F297))),"Role and leadership advisory",
OR(ISNUMBER(SEARCH("meeting",F297)),ISNUMBER(SEARCH("notes",F297)),ISNUMBER(SEARCH("summary",F297))),"Meeting notes and summarization",
TRUE,"Other or fragmented"
)</f>
        <v>Other or fragmented</v>
      </c>
      <c r="O297" s="3" t="s">
        <v>64</v>
      </c>
      <c r="P297" s="3"/>
    </row>
    <row r="298" spans="1:16" x14ac:dyDescent="0.25">
      <c r="A298" t="s">
        <v>15</v>
      </c>
      <c r="B298" s="1">
        <v>45992</v>
      </c>
      <c r="C298" s="1">
        <v>46022</v>
      </c>
      <c r="E298" t="s">
        <v>24</v>
      </c>
      <c r="G298">
        <v>0</v>
      </c>
      <c r="J298">
        <v>0</v>
      </c>
      <c r="K298">
        <v>0</v>
      </c>
      <c r="L298" t="s">
        <v>438</v>
      </c>
      <c r="M298" s="9" t="s">
        <v>19</v>
      </c>
      <c r="N298" s="3" t="str" cm="1">
        <f t="array" ref="N298">_xlfn.IFS(
OR(ISNUMBER(SEARCH("email",D298)),ISNUMBER(SEARCH("email",F298)),ISNUMBER(SEARCH("polish",D298)),ISNUMBER(SEARCH("rewrite",F298)),ISNUMBER(SEARCH("copy",F298))),"Writing and comms",
OR(ISNUMBER(SEARCH("research",F298)),ISNUMBER(SEARCH("intel",F298)),ISNUMBER(SEARCH("company",D298)),ISNUMBER(SEARCH("digger",D298))),"Research and intel",
OR(ISNUMBER(SEARCH("prompt",D298)),ISNUMBER(SEARCH("prompt",F298))),"Prompting help",
OR(ISNUMBER(SEARCH("role",D298)),ISNUMBER(SEARCH("scorecard",F298)),ISNUMBER(SEARCH("competenc",F298))),"Role and leadership advisory",
OR(ISNUMBER(SEARCH("meeting",F298)),ISNUMBER(SEARCH("notes",F298)),ISNUMBER(SEARCH("summary",F298))),"Meeting notes and summarization",
TRUE,"Other or fragmented"
)</f>
        <v>Other or fragmented</v>
      </c>
      <c r="O298" s="3" t="s">
        <v>64</v>
      </c>
      <c r="P298" s="3"/>
    </row>
    <row r="299" spans="1:16" x14ac:dyDescent="0.25">
      <c r="A299" t="s">
        <v>15</v>
      </c>
      <c r="B299" s="1">
        <v>45992</v>
      </c>
      <c r="C299" s="1">
        <v>46022</v>
      </c>
      <c r="E299" t="s">
        <v>24</v>
      </c>
      <c r="G299">
        <v>0</v>
      </c>
      <c r="J299">
        <v>0</v>
      </c>
      <c r="K299">
        <v>0</v>
      </c>
      <c r="L299" t="s">
        <v>438</v>
      </c>
      <c r="M299" s="10" t="s">
        <v>19</v>
      </c>
      <c r="N299" s="3" t="str" cm="1">
        <f t="array" ref="N299">_xlfn.IFS(
OR(ISNUMBER(SEARCH("email",D299)),ISNUMBER(SEARCH("email",F299)),ISNUMBER(SEARCH("polish",D299)),ISNUMBER(SEARCH("rewrite",F299)),ISNUMBER(SEARCH("copy",F299))),"Writing and comms",
OR(ISNUMBER(SEARCH("research",F299)),ISNUMBER(SEARCH("intel",F299)),ISNUMBER(SEARCH("company",D299)),ISNUMBER(SEARCH("digger",D299))),"Research and intel",
OR(ISNUMBER(SEARCH("prompt",D299)),ISNUMBER(SEARCH("prompt",F299))),"Prompting help",
OR(ISNUMBER(SEARCH("role",D299)),ISNUMBER(SEARCH("scorecard",F299)),ISNUMBER(SEARCH("competenc",F299))),"Role and leadership advisory",
OR(ISNUMBER(SEARCH("meeting",F299)),ISNUMBER(SEARCH("notes",F299)),ISNUMBER(SEARCH("summary",F299))),"Meeting notes and summarization",
TRUE,"Other or fragmented"
)</f>
        <v>Other or fragmented</v>
      </c>
      <c r="O299" s="3" t="s">
        <v>64</v>
      </c>
      <c r="P299" s="3"/>
    </row>
    <row r="300" spans="1:16" x14ac:dyDescent="0.25">
      <c r="A300" t="s">
        <v>15</v>
      </c>
      <c r="B300" s="1">
        <v>45992</v>
      </c>
      <c r="C300" s="1">
        <v>46022</v>
      </c>
      <c r="E300" t="s">
        <v>24</v>
      </c>
      <c r="G300">
        <v>0</v>
      </c>
      <c r="J300">
        <v>0</v>
      </c>
      <c r="K300">
        <v>0</v>
      </c>
      <c r="L300" t="s">
        <v>438</v>
      </c>
      <c r="M300" s="9" t="s">
        <v>19</v>
      </c>
      <c r="N300" s="3" t="str" cm="1">
        <f t="array" ref="N300">_xlfn.IFS(
OR(ISNUMBER(SEARCH("email",D300)),ISNUMBER(SEARCH("email",F300)),ISNUMBER(SEARCH("polish",D300)),ISNUMBER(SEARCH("rewrite",F300)),ISNUMBER(SEARCH("copy",F300))),"Writing and comms",
OR(ISNUMBER(SEARCH("research",F300)),ISNUMBER(SEARCH("intel",F300)),ISNUMBER(SEARCH("company",D300)),ISNUMBER(SEARCH("digger",D300))),"Research and intel",
OR(ISNUMBER(SEARCH("prompt",D300)),ISNUMBER(SEARCH("prompt",F300))),"Prompting help",
OR(ISNUMBER(SEARCH("role",D300)),ISNUMBER(SEARCH("scorecard",F300)),ISNUMBER(SEARCH("competenc",F300))),"Role and leadership advisory",
OR(ISNUMBER(SEARCH("meeting",F300)),ISNUMBER(SEARCH("notes",F300)),ISNUMBER(SEARCH("summary",F300))),"Meeting notes and summarization",
TRUE,"Other or fragmented"
)</f>
        <v>Other or fragmented</v>
      </c>
      <c r="O300" s="3" t="s">
        <v>64</v>
      </c>
      <c r="P300" s="3"/>
    </row>
    <row r="301" spans="1:16" x14ac:dyDescent="0.25">
      <c r="A301" t="s">
        <v>15</v>
      </c>
      <c r="B301" s="1">
        <v>45992</v>
      </c>
      <c r="C301" s="1">
        <v>46022</v>
      </c>
      <c r="D301" t="s">
        <v>441</v>
      </c>
      <c r="E301" t="s">
        <v>17</v>
      </c>
      <c r="G301">
        <v>0</v>
      </c>
      <c r="J301">
        <v>0</v>
      </c>
      <c r="K301">
        <v>0</v>
      </c>
      <c r="L301" t="s">
        <v>438</v>
      </c>
      <c r="M301" s="10" t="s">
        <v>19</v>
      </c>
      <c r="N301" s="3" t="str" cm="1">
        <f t="array" ref="N301">_xlfn.IFS(
OR(ISNUMBER(SEARCH("email",D301)),ISNUMBER(SEARCH("email",F301)),ISNUMBER(SEARCH("polish",D301)),ISNUMBER(SEARCH("rewrite",F301)),ISNUMBER(SEARCH("copy",F301))),"Writing and comms",
OR(ISNUMBER(SEARCH("research",F301)),ISNUMBER(SEARCH("intel",F301)),ISNUMBER(SEARCH("company",D301)),ISNUMBER(SEARCH("digger",D301))),"Research and intel",
OR(ISNUMBER(SEARCH("prompt",D301)),ISNUMBER(SEARCH("prompt",F301))),"Prompting help",
OR(ISNUMBER(SEARCH("role",D301)),ISNUMBER(SEARCH("scorecard",F301)),ISNUMBER(SEARCH("competenc",F301))),"Role and leadership advisory",
OR(ISNUMBER(SEARCH("meeting",F301)),ISNUMBER(SEARCH("notes",F301)),ISNUMBER(SEARCH("summary",F301))),"Meeting notes and summarization",
TRUE,"Other or fragmented"
)</f>
        <v>Other or fragmented</v>
      </c>
      <c r="O301" s="3" t="s">
        <v>64</v>
      </c>
      <c r="P301" s="3"/>
    </row>
    <row r="302" spans="1:16" x14ac:dyDescent="0.25">
      <c r="A302" t="s">
        <v>15</v>
      </c>
      <c r="B302" s="1">
        <v>45992</v>
      </c>
      <c r="C302" s="1">
        <v>46022</v>
      </c>
      <c r="D302" t="s">
        <v>442</v>
      </c>
      <c r="E302" t="s">
        <v>17</v>
      </c>
      <c r="F302" t="s">
        <v>443</v>
      </c>
      <c r="G302">
        <v>1</v>
      </c>
      <c r="H302" s="1">
        <v>45999</v>
      </c>
      <c r="I302" s="1">
        <v>46009</v>
      </c>
      <c r="J302">
        <v>31</v>
      </c>
      <c r="K302">
        <v>12</v>
      </c>
      <c r="L302" t="s">
        <v>444</v>
      </c>
      <c r="M302" s="9" t="s">
        <v>19</v>
      </c>
      <c r="N302" s="3" t="str" cm="1">
        <f t="array" ref="N302">_xlfn.IFS(
OR(ISNUMBER(SEARCH("email",D302)),ISNUMBER(SEARCH("email",F302)),ISNUMBER(SEARCH("polish",D302)),ISNUMBER(SEARCH("rewrite",F302)),ISNUMBER(SEARCH("copy",F302))),"Writing and comms",
OR(ISNUMBER(SEARCH("research",F302)),ISNUMBER(SEARCH("intel",F302)),ISNUMBER(SEARCH("company",D302)),ISNUMBER(SEARCH("digger",D302))),"Research and intel",
OR(ISNUMBER(SEARCH("prompt",D302)),ISNUMBER(SEARCH("prompt",F302))),"Prompting help",
OR(ISNUMBER(SEARCH("role",D302)),ISNUMBER(SEARCH("scorecard",F302)),ISNUMBER(SEARCH("competenc",F302))),"Role and leadership advisory",
OR(ISNUMBER(SEARCH("meeting",F302)),ISNUMBER(SEARCH("notes",F302)),ISNUMBER(SEARCH("summary",F302))),"Meeting notes and summarization",
TRUE,"Other or fragmented"
)</f>
        <v>Other or fragmented</v>
      </c>
      <c r="O302" s="3" t="s">
        <v>64</v>
      </c>
      <c r="P302" s="3"/>
    </row>
    <row r="303" spans="1:16" x14ac:dyDescent="0.25">
      <c r="A303" t="s">
        <v>15</v>
      </c>
      <c r="B303" s="1">
        <v>45992</v>
      </c>
      <c r="C303" s="1">
        <v>46022</v>
      </c>
      <c r="D303" t="s">
        <v>445</v>
      </c>
      <c r="E303" t="s">
        <v>17</v>
      </c>
      <c r="F303" t="s">
        <v>446</v>
      </c>
      <c r="G303">
        <v>1</v>
      </c>
      <c r="H303" s="1">
        <v>45997</v>
      </c>
      <c r="I303" s="1">
        <v>46016</v>
      </c>
      <c r="J303">
        <v>7</v>
      </c>
      <c r="K303">
        <v>1</v>
      </c>
      <c r="L303" t="s">
        <v>444</v>
      </c>
      <c r="M303" s="10" t="s">
        <v>19</v>
      </c>
      <c r="N303" s="3" t="str" cm="1">
        <f t="array" ref="N303">_xlfn.IFS(
OR(ISNUMBER(SEARCH("email",D303)),ISNUMBER(SEARCH("email",F303)),ISNUMBER(SEARCH("polish",D303)),ISNUMBER(SEARCH("rewrite",F303)),ISNUMBER(SEARCH("copy",F303))),"Writing and comms",
OR(ISNUMBER(SEARCH("research",F303)),ISNUMBER(SEARCH("intel",F303)),ISNUMBER(SEARCH("company",D303)),ISNUMBER(SEARCH("digger",D303))),"Research and intel",
OR(ISNUMBER(SEARCH("prompt",D303)),ISNUMBER(SEARCH("prompt",F303))),"Prompting help",
OR(ISNUMBER(SEARCH("role",D303)),ISNUMBER(SEARCH("scorecard",F303)),ISNUMBER(SEARCH("competenc",F303))),"Role and leadership advisory",
OR(ISNUMBER(SEARCH("meeting",F303)),ISNUMBER(SEARCH("notes",F303)),ISNUMBER(SEARCH("summary",F303))),"Meeting notes and summarization",
TRUE,"Other or fragmented"
)</f>
        <v>Other or fragmented</v>
      </c>
      <c r="O303" s="3" t="s">
        <v>64</v>
      </c>
      <c r="P303" s="3"/>
    </row>
    <row r="304" spans="1:16" x14ac:dyDescent="0.25">
      <c r="A304" t="s">
        <v>15</v>
      </c>
      <c r="B304" s="1">
        <v>45992</v>
      </c>
      <c r="C304" s="1">
        <v>46022</v>
      </c>
      <c r="E304" t="s">
        <v>24</v>
      </c>
      <c r="G304">
        <v>0</v>
      </c>
      <c r="J304">
        <v>0</v>
      </c>
      <c r="K304">
        <v>0</v>
      </c>
      <c r="L304" t="s">
        <v>444</v>
      </c>
      <c r="M304" s="9" t="s">
        <v>19</v>
      </c>
      <c r="N304" s="3" t="str" cm="1">
        <f t="array" ref="N304">_xlfn.IFS(
OR(ISNUMBER(SEARCH("email",D304)),ISNUMBER(SEARCH("email",F304)),ISNUMBER(SEARCH("polish",D304)),ISNUMBER(SEARCH("rewrite",F304)),ISNUMBER(SEARCH("copy",F304))),"Writing and comms",
OR(ISNUMBER(SEARCH("research",F304)),ISNUMBER(SEARCH("intel",F304)),ISNUMBER(SEARCH("company",D304)),ISNUMBER(SEARCH("digger",D304))),"Research and intel",
OR(ISNUMBER(SEARCH("prompt",D304)),ISNUMBER(SEARCH("prompt",F304))),"Prompting help",
OR(ISNUMBER(SEARCH("role",D304)),ISNUMBER(SEARCH("scorecard",F304)),ISNUMBER(SEARCH("competenc",F304))),"Role and leadership advisory",
OR(ISNUMBER(SEARCH("meeting",F304)),ISNUMBER(SEARCH("notes",F304)),ISNUMBER(SEARCH("summary",F304))),"Meeting notes and summarization",
TRUE,"Other or fragmented"
)</f>
        <v>Other or fragmented</v>
      </c>
      <c r="O304" s="3" t="s">
        <v>64</v>
      </c>
      <c r="P304" s="3"/>
    </row>
    <row r="305" spans="1:16" x14ac:dyDescent="0.25">
      <c r="A305" t="s">
        <v>15</v>
      </c>
      <c r="B305" s="1">
        <v>45992</v>
      </c>
      <c r="C305" s="1">
        <v>46022</v>
      </c>
      <c r="D305" t="s">
        <v>447</v>
      </c>
      <c r="E305" t="s">
        <v>17</v>
      </c>
      <c r="F305" t="s">
        <v>448</v>
      </c>
      <c r="G305">
        <v>0</v>
      </c>
      <c r="J305">
        <v>0</v>
      </c>
      <c r="K305">
        <v>0</v>
      </c>
      <c r="L305" t="s">
        <v>444</v>
      </c>
      <c r="M305" s="10" t="s">
        <v>19</v>
      </c>
      <c r="N305" s="3" t="str" cm="1">
        <f t="array" ref="N305">_xlfn.IFS(
OR(ISNUMBER(SEARCH("email",D305)),ISNUMBER(SEARCH("email",F305)),ISNUMBER(SEARCH("polish",D305)),ISNUMBER(SEARCH("rewrite",F305)),ISNUMBER(SEARCH("copy",F305))),"Writing and comms",
OR(ISNUMBER(SEARCH("research",F305)),ISNUMBER(SEARCH("intel",F305)),ISNUMBER(SEARCH("company",D305)),ISNUMBER(SEARCH("digger",D305))),"Research and intel",
OR(ISNUMBER(SEARCH("prompt",D305)),ISNUMBER(SEARCH("prompt",F305))),"Prompting help",
OR(ISNUMBER(SEARCH("role",D305)),ISNUMBER(SEARCH("scorecard",F305)),ISNUMBER(SEARCH("competenc",F305))),"Role and leadership advisory",
OR(ISNUMBER(SEARCH("meeting",F305)),ISNUMBER(SEARCH("notes",F305)),ISNUMBER(SEARCH("summary",F305))),"Meeting notes and summarization",
TRUE,"Other or fragmented"
)</f>
        <v>Other or fragmented</v>
      </c>
      <c r="O305" s="3" t="s">
        <v>64</v>
      </c>
      <c r="P305" s="3"/>
    </row>
    <row r="306" spans="1:16" x14ac:dyDescent="0.25">
      <c r="A306" t="s">
        <v>15</v>
      </c>
      <c r="B306" s="1">
        <v>45992</v>
      </c>
      <c r="C306" s="1">
        <v>46022</v>
      </c>
      <c r="D306" t="s">
        <v>449</v>
      </c>
      <c r="E306" t="s">
        <v>17</v>
      </c>
      <c r="F306" t="s">
        <v>450</v>
      </c>
      <c r="G306">
        <v>0</v>
      </c>
      <c r="J306">
        <v>0</v>
      </c>
      <c r="K306">
        <v>0</v>
      </c>
      <c r="L306" t="s">
        <v>444</v>
      </c>
      <c r="M306" s="9" t="s">
        <v>19</v>
      </c>
      <c r="N306" s="3" t="str" cm="1">
        <f t="array" ref="N306">_xlfn.IFS(
OR(ISNUMBER(SEARCH("email",D306)),ISNUMBER(SEARCH("email",F306)),ISNUMBER(SEARCH("polish",D306)),ISNUMBER(SEARCH("rewrite",F306)),ISNUMBER(SEARCH("copy",F306))),"Writing and comms",
OR(ISNUMBER(SEARCH("research",F306)),ISNUMBER(SEARCH("intel",F306)),ISNUMBER(SEARCH("company",D306)),ISNUMBER(SEARCH("digger",D306))),"Research and intel",
OR(ISNUMBER(SEARCH("prompt",D306)),ISNUMBER(SEARCH("prompt",F306))),"Prompting help",
OR(ISNUMBER(SEARCH("role",D306)),ISNUMBER(SEARCH("scorecard",F306)),ISNUMBER(SEARCH("competenc",F306))),"Role and leadership advisory",
OR(ISNUMBER(SEARCH("meeting",F306)),ISNUMBER(SEARCH("notes",F306)),ISNUMBER(SEARCH("summary",F306))),"Meeting notes and summarization",
TRUE,"Other or fragmented"
)</f>
        <v>Other or fragmented</v>
      </c>
      <c r="O306" s="3" t="s">
        <v>64</v>
      </c>
      <c r="P306" s="3"/>
    </row>
    <row r="307" spans="1:16" x14ac:dyDescent="0.25">
      <c r="A307" t="s">
        <v>15</v>
      </c>
      <c r="B307" s="1">
        <v>45992</v>
      </c>
      <c r="C307" s="1">
        <v>46022</v>
      </c>
      <c r="D307" t="s">
        <v>451</v>
      </c>
      <c r="E307" t="s">
        <v>24</v>
      </c>
      <c r="F307" t="s">
        <v>452</v>
      </c>
      <c r="G307">
        <v>1</v>
      </c>
      <c r="H307" s="1">
        <v>46009</v>
      </c>
      <c r="I307" s="1">
        <v>46009</v>
      </c>
      <c r="J307">
        <v>5</v>
      </c>
      <c r="K307">
        <v>1</v>
      </c>
      <c r="L307" t="s">
        <v>453</v>
      </c>
      <c r="M307" s="10" t="s">
        <v>19</v>
      </c>
      <c r="N307" s="3" t="str" cm="1">
        <f t="array" ref="N307">_xlfn.IFS(
OR(ISNUMBER(SEARCH("email",D307)),ISNUMBER(SEARCH("email",F307)),ISNUMBER(SEARCH("polish",D307)),ISNUMBER(SEARCH("rewrite",F307)),ISNUMBER(SEARCH("copy",F307))),"Writing and comms",
OR(ISNUMBER(SEARCH("research",F307)),ISNUMBER(SEARCH("intel",F307)),ISNUMBER(SEARCH("company",D307)),ISNUMBER(SEARCH("digger",D307))),"Research and intel",
OR(ISNUMBER(SEARCH("prompt",D307)),ISNUMBER(SEARCH("prompt",F307))),"Prompting help",
OR(ISNUMBER(SEARCH("role",D307)),ISNUMBER(SEARCH("scorecard",F307)),ISNUMBER(SEARCH("competenc",F307))),"Role and leadership advisory",
OR(ISNUMBER(SEARCH("meeting",F307)),ISNUMBER(SEARCH("notes",F307)),ISNUMBER(SEARCH("summary",F307))),"Meeting notes and summarization",
TRUE,"Other or fragmented"
)</f>
        <v>Meeting notes and summarization</v>
      </c>
      <c r="O307" s="3" t="s">
        <v>64</v>
      </c>
      <c r="P307" s="3"/>
    </row>
    <row r="308" spans="1:16" x14ac:dyDescent="0.25">
      <c r="A308" t="s">
        <v>15</v>
      </c>
      <c r="B308" s="1">
        <v>45992</v>
      </c>
      <c r="C308" s="1">
        <v>46022</v>
      </c>
      <c r="E308" t="s">
        <v>24</v>
      </c>
      <c r="G308">
        <v>0</v>
      </c>
      <c r="J308">
        <v>0</v>
      </c>
      <c r="K308">
        <v>0</v>
      </c>
      <c r="L308" t="s">
        <v>454</v>
      </c>
      <c r="M308" s="9" t="s">
        <v>19</v>
      </c>
      <c r="N308" s="3" t="str" cm="1">
        <f t="array" ref="N308">_xlfn.IFS(
OR(ISNUMBER(SEARCH("email",D308)),ISNUMBER(SEARCH("email",F308)),ISNUMBER(SEARCH("polish",D308)),ISNUMBER(SEARCH("rewrite",F308)),ISNUMBER(SEARCH("copy",F308))),"Writing and comms",
OR(ISNUMBER(SEARCH("research",F308)),ISNUMBER(SEARCH("intel",F308)),ISNUMBER(SEARCH("company",D308)),ISNUMBER(SEARCH("digger",D308))),"Research and intel",
OR(ISNUMBER(SEARCH("prompt",D308)),ISNUMBER(SEARCH("prompt",F308))),"Prompting help",
OR(ISNUMBER(SEARCH("role",D308)),ISNUMBER(SEARCH("scorecard",F308)),ISNUMBER(SEARCH("competenc",F308))),"Role and leadership advisory",
OR(ISNUMBER(SEARCH("meeting",F308)),ISNUMBER(SEARCH("notes",F308)),ISNUMBER(SEARCH("summary",F308))),"Meeting notes and summarization",
TRUE,"Other or fragmented"
)</f>
        <v>Other or fragmented</v>
      </c>
      <c r="O308" s="3" t="s">
        <v>64</v>
      </c>
      <c r="P308" s="3"/>
    </row>
    <row r="309" spans="1:16" x14ac:dyDescent="0.25">
      <c r="A309" t="s">
        <v>15</v>
      </c>
      <c r="B309" s="1">
        <v>45992</v>
      </c>
      <c r="C309" s="1">
        <v>46022</v>
      </c>
      <c r="D309" t="s">
        <v>455</v>
      </c>
      <c r="E309" t="s">
        <v>17</v>
      </c>
      <c r="F309" t="s">
        <v>456</v>
      </c>
      <c r="G309">
        <v>1</v>
      </c>
      <c r="H309" s="1">
        <v>45996</v>
      </c>
      <c r="I309" s="1">
        <v>45996</v>
      </c>
      <c r="J309">
        <v>2</v>
      </c>
      <c r="K309">
        <v>1</v>
      </c>
      <c r="L309" t="s">
        <v>457</v>
      </c>
      <c r="M309" s="10" t="s">
        <v>19</v>
      </c>
      <c r="N309" s="3" t="str" cm="1">
        <f t="array" ref="N309">_xlfn.IFS(
OR(ISNUMBER(SEARCH("email",D309)),ISNUMBER(SEARCH("email",F309)),ISNUMBER(SEARCH("polish",D309)),ISNUMBER(SEARCH("rewrite",F309)),ISNUMBER(SEARCH("copy",F309))),"Writing and comms",
OR(ISNUMBER(SEARCH("research",F309)),ISNUMBER(SEARCH("intel",F309)),ISNUMBER(SEARCH("company",D309)),ISNUMBER(SEARCH("digger",D309))),"Research and intel",
OR(ISNUMBER(SEARCH("prompt",D309)),ISNUMBER(SEARCH("prompt",F309))),"Prompting help",
OR(ISNUMBER(SEARCH("role",D309)),ISNUMBER(SEARCH("scorecard",F309)),ISNUMBER(SEARCH("competenc",F309))),"Role and leadership advisory",
OR(ISNUMBER(SEARCH("meeting",F309)),ISNUMBER(SEARCH("notes",F309)),ISNUMBER(SEARCH("summary",F309))),"Meeting notes and summarization",
TRUE,"Other or fragmented"
)</f>
        <v>Other or fragmented</v>
      </c>
      <c r="O309" s="3" t="s">
        <v>64</v>
      </c>
      <c r="P309" s="3"/>
    </row>
    <row r="310" spans="1:16" x14ac:dyDescent="0.25">
      <c r="A310" t="s">
        <v>15</v>
      </c>
      <c r="B310" s="1">
        <v>45992</v>
      </c>
      <c r="C310" s="1">
        <v>46022</v>
      </c>
      <c r="D310" t="s">
        <v>458</v>
      </c>
      <c r="E310" t="s">
        <v>17</v>
      </c>
      <c r="F310" t="s">
        <v>459</v>
      </c>
      <c r="G310">
        <v>1</v>
      </c>
      <c r="H310" s="1">
        <v>46000</v>
      </c>
      <c r="I310" s="1">
        <v>46009</v>
      </c>
      <c r="J310">
        <v>8</v>
      </c>
      <c r="K310">
        <v>1</v>
      </c>
      <c r="L310" t="s">
        <v>457</v>
      </c>
      <c r="M310" s="9" t="s">
        <v>19</v>
      </c>
      <c r="N310" s="3" t="str" cm="1">
        <f t="array" ref="N310">_xlfn.IFS(
OR(ISNUMBER(SEARCH("email",D310)),ISNUMBER(SEARCH("email",F310)),ISNUMBER(SEARCH("polish",D310)),ISNUMBER(SEARCH("rewrite",F310)),ISNUMBER(SEARCH("copy",F310))),"Writing and comms",
OR(ISNUMBER(SEARCH("research",F310)),ISNUMBER(SEARCH("intel",F310)),ISNUMBER(SEARCH("company",D310)),ISNUMBER(SEARCH("digger",D310))),"Research and intel",
OR(ISNUMBER(SEARCH("prompt",D310)),ISNUMBER(SEARCH("prompt",F310))),"Prompting help",
OR(ISNUMBER(SEARCH("role",D310)),ISNUMBER(SEARCH("scorecard",F310)),ISNUMBER(SEARCH("competenc",F310))),"Role and leadership advisory",
OR(ISNUMBER(SEARCH("meeting",F310)),ISNUMBER(SEARCH("notes",F310)),ISNUMBER(SEARCH("summary",F310))),"Meeting notes and summarization",
TRUE,"Other or fragmented"
)</f>
        <v>Research and intel</v>
      </c>
      <c r="O310" s="3" t="s">
        <v>64</v>
      </c>
      <c r="P310" s="3"/>
    </row>
    <row r="311" spans="1:16" x14ac:dyDescent="0.25">
      <c r="A311" t="s">
        <v>15</v>
      </c>
      <c r="B311" s="1">
        <v>45992</v>
      </c>
      <c r="C311" s="1">
        <v>46022</v>
      </c>
      <c r="D311" t="s">
        <v>460</v>
      </c>
      <c r="E311" t="s">
        <v>17</v>
      </c>
      <c r="F311" t="s">
        <v>460</v>
      </c>
      <c r="G311">
        <v>1</v>
      </c>
      <c r="H311" s="1">
        <v>45992</v>
      </c>
      <c r="I311" s="1">
        <v>46006</v>
      </c>
      <c r="J311">
        <v>8</v>
      </c>
      <c r="K311">
        <v>1</v>
      </c>
      <c r="L311" t="s">
        <v>457</v>
      </c>
      <c r="M311" s="10" t="s">
        <v>19</v>
      </c>
      <c r="N311" s="3" t="str" cm="1">
        <f t="array" ref="N311">_xlfn.IFS(
OR(ISNUMBER(SEARCH("email",D311)),ISNUMBER(SEARCH("email",F311)),ISNUMBER(SEARCH("polish",D311)),ISNUMBER(SEARCH("rewrite",F311)),ISNUMBER(SEARCH("copy",F311))),"Writing and comms",
OR(ISNUMBER(SEARCH("research",F311)),ISNUMBER(SEARCH("intel",F311)),ISNUMBER(SEARCH("company",D311)),ISNUMBER(SEARCH("digger",D311))),"Research and intel",
OR(ISNUMBER(SEARCH("prompt",D311)),ISNUMBER(SEARCH("prompt",F311))),"Prompting help",
OR(ISNUMBER(SEARCH("role",D311)),ISNUMBER(SEARCH("scorecard",F311)),ISNUMBER(SEARCH("competenc",F311))),"Role and leadership advisory",
OR(ISNUMBER(SEARCH("meeting",F311)),ISNUMBER(SEARCH("notes",F311)),ISNUMBER(SEARCH("summary",F311))),"Meeting notes and summarization",
TRUE,"Other or fragmented"
)</f>
        <v>Other or fragmented</v>
      </c>
      <c r="O311" s="3" t="s">
        <v>64</v>
      </c>
      <c r="P311" s="3"/>
    </row>
    <row r="312" spans="1:16" x14ac:dyDescent="0.25">
      <c r="A312" t="s">
        <v>15</v>
      </c>
      <c r="B312" s="1">
        <v>45992</v>
      </c>
      <c r="C312" s="1">
        <v>46022</v>
      </c>
      <c r="E312" t="s">
        <v>24</v>
      </c>
      <c r="G312">
        <v>0</v>
      </c>
      <c r="J312">
        <v>0</v>
      </c>
      <c r="K312">
        <v>0</v>
      </c>
      <c r="L312" t="s">
        <v>457</v>
      </c>
      <c r="M312" s="9" t="s">
        <v>19</v>
      </c>
      <c r="N312" s="3" t="str" cm="1">
        <f t="array" ref="N312">_xlfn.IFS(
OR(ISNUMBER(SEARCH("email",D312)),ISNUMBER(SEARCH("email",F312)),ISNUMBER(SEARCH("polish",D312)),ISNUMBER(SEARCH("rewrite",F312)),ISNUMBER(SEARCH("copy",F312))),"Writing and comms",
OR(ISNUMBER(SEARCH("research",F312)),ISNUMBER(SEARCH("intel",F312)),ISNUMBER(SEARCH("company",D312)),ISNUMBER(SEARCH("digger",D312))),"Research and intel",
OR(ISNUMBER(SEARCH("prompt",D312)),ISNUMBER(SEARCH("prompt",F312))),"Prompting help",
OR(ISNUMBER(SEARCH("role",D312)),ISNUMBER(SEARCH("scorecard",F312)),ISNUMBER(SEARCH("competenc",F312))),"Role and leadership advisory",
OR(ISNUMBER(SEARCH("meeting",F312)),ISNUMBER(SEARCH("notes",F312)),ISNUMBER(SEARCH("summary",F312))),"Meeting notes and summarization",
TRUE,"Other or fragmented"
)</f>
        <v>Other or fragmented</v>
      </c>
      <c r="O312" s="3" t="s">
        <v>64</v>
      </c>
      <c r="P312" s="3"/>
    </row>
    <row r="313" spans="1:16" x14ac:dyDescent="0.25">
      <c r="A313" t="s">
        <v>15</v>
      </c>
      <c r="B313" s="1">
        <v>45992</v>
      </c>
      <c r="C313" s="1">
        <v>46022</v>
      </c>
      <c r="D313" t="s">
        <v>461</v>
      </c>
      <c r="E313" t="s">
        <v>17</v>
      </c>
      <c r="F313" t="s">
        <v>462</v>
      </c>
      <c r="G313">
        <v>0</v>
      </c>
      <c r="J313">
        <v>0</v>
      </c>
      <c r="K313">
        <v>0</v>
      </c>
      <c r="L313" t="s">
        <v>457</v>
      </c>
      <c r="M313" s="10" t="s">
        <v>19</v>
      </c>
      <c r="N313" s="3" t="str" cm="1">
        <f t="array" ref="N313">_xlfn.IFS(
OR(ISNUMBER(SEARCH("email",D313)),ISNUMBER(SEARCH("email",F313)),ISNUMBER(SEARCH("polish",D313)),ISNUMBER(SEARCH("rewrite",F313)),ISNUMBER(SEARCH("copy",F313))),"Writing and comms",
OR(ISNUMBER(SEARCH("research",F313)),ISNUMBER(SEARCH("intel",F313)),ISNUMBER(SEARCH("company",D313)),ISNUMBER(SEARCH("digger",D313))),"Research and intel",
OR(ISNUMBER(SEARCH("prompt",D313)),ISNUMBER(SEARCH("prompt",F313))),"Prompting help",
OR(ISNUMBER(SEARCH("role",D313)),ISNUMBER(SEARCH("scorecard",F313)),ISNUMBER(SEARCH("competenc",F313))),"Role and leadership advisory",
OR(ISNUMBER(SEARCH("meeting",F313)),ISNUMBER(SEARCH("notes",F313)),ISNUMBER(SEARCH("summary",F313))),"Meeting notes and summarization",
TRUE,"Other or fragmented"
)</f>
        <v>Other or fragmented</v>
      </c>
      <c r="O313" s="3" t="s">
        <v>64</v>
      </c>
      <c r="P313" s="3"/>
    </row>
    <row r="314" spans="1:16" x14ac:dyDescent="0.25">
      <c r="A314" t="s">
        <v>15</v>
      </c>
      <c r="B314" s="1">
        <v>45992</v>
      </c>
      <c r="C314" s="1">
        <v>46022</v>
      </c>
      <c r="D314" t="s">
        <v>463</v>
      </c>
      <c r="E314" t="s">
        <v>17</v>
      </c>
      <c r="F314" t="s">
        <v>464</v>
      </c>
      <c r="G314">
        <v>1</v>
      </c>
      <c r="H314" s="1">
        <v>45999</v>
      </c>
      <c r="I314" s="1">
        <v>45999</v>
      </c>
      <c r="J314">
        <v>2</v>
      </c>
      <c r="K314">
        <v>1</v>
      </c>
      <c r="L314" t="s">
        <v>465</v>
      </c>
      <c r="M314" s="9" t="s">
        <v>19</v>
      </c>
      <c r="N314" s="3" t="str" cm="1">
        <f t="array" ref="N314">_xlfn.IFS(
OR(ISNUMBER(SEARCH("email",D314)),ISNUMBER(SEARCH("email",F314)),ISNUMBER(SEARCH("polish",D314)),ISNUMBER(SEARCH("rewrite",F314)),ISNUMBER(SEARCH("copy",F314))),"Writing and comms",
OR(ISNUMBER(SEARCH("research",F314)),ISNUMBER(SEARCH("intel",F314)),ISNUMBER(SEARCH("company",D314)),ISNUMBER(SEARCH("digger",D314))),"Research and intel",
OR(ISNUMBER(SEARCH("prompt",D314)),ISNUMBER(SEARCH("prompt",F314))),"Prompting help",
OR(ISNUMBER(SEARCH("role",D314)),ISNUMBER(SEARCH("scorecard",F314)),ISNUMBER(SEARCH("competenc",F314))),"Role and leadership advisory",
OR(ISNUMBER(SEARCH("meeting",F314)),ISNUMBER(SEARCH("notes",F314)),ISNUMBER(SEARCH("summary",F314))),"Meeting notes and summarization",
TRUE,"Other or fragmented"
)</f>
        <v>Other or fragmented</v>
      </c>
      <c r="O314" s="3" t="s">
        <v>64</v>
      </c>
      <c r="P314" s="3"/>
    </row>
    <row r="315" spans="1:16" x14ac:dyDescent="0.25">
      <c r="A315" t="s">
        <v>15</v>
      </c>
      <c r="B315" s="1">
        <v>45992</v>
      </c>
      <c r="C315" s="1">
        <v>46022</v>
      </c>
      <c r="D315" t="s">
        <v>466</v>
      </c>
      <c r="E315" t="s">
        <v>17</v>
      </c>
      <c r="F315" t="s">
        <v>467</v>
      </c>
      <c r="G315">
        <v>1</v>
      </c>
      <c r="H315" s="1">
        <v>45994</v>
      </c>
      <c r="I315" s="1">
        <v>45999</v>
      </c>
      <c r="J315">
        <v>14</v>
      </c>
      <c r="K315">
        <v>1</v>
      </c>
      <c r="L315" t="s">
        <v>465</v>
      </c>
      <c r="M315" s="10" t="s">
        <v>19</v>
      </c>
      <c r="N315" s="3" t="str" cm="1">
        <f t="array" ref="N315">_xlfn.IFS(
OR(ISNUMBER(SEARCH("email",D315)),ISNUMBER(SEARCH("email",F315)),ISNUMBER(SEARCH("polish",D315)),ISNUMBER(SEARCH("rewrite",F315)),ISNUMBER(SEARCH("copy",F315))),"Writing and comms",
OR(ISNUMBER(SEARCH("research",F315)),ISNUMBER(SEARCH("intel",F315)),ISNUMBER(SEARCH("company",D315)),ISNUMBER(SEARCH("digger",D315))),"Research and intel",
OR(ISNUMBER(SEARCH("prompt",D315)),ISNUMBER(SEARCH("prompt",F315))),"Prompting help",
OR(ISNUMBER(SEARCH("role",D315)),ISNUMBER(SEARCH("scorecard",F315)),ISNUMBER(SEARCH("competenc",F315))),"Role and leadership advisory",
OR(ISNUMBER(SEARCH("meeting",F315)),ISNUMBER(SEARCH("notes",F315)),ISNUMBER(SEARCH("summary",F315))),"Meeting notes and summarization",
TRUE,"Other or fragmented"
)</f>
        <v>Research and intel</v>
      </c>
      <c r="O315" s="3" t="s">
        <v>64</v>
      </c>
      <c r="P315" s="3"/>
    </row>
    <row r="316" spans="1:16" x14ac:dyDescent="0.25">
      <c r="A316" t="s">
        <v>15</v>
      </c>
      <c r="B316" s="1">
        <v>45992</v>
      </c>
      <c r="C316" s="1">
        <v>46022</v>
      </c>
      <c r="D316" t="s">
        <v>468</v>
      </c>
      <c r="E316" t="s">
        <v>17</v>
      </c>
      <c r="F316" t="s">
        <v>469</v>
      </c>
      <c r="G316">
        <v>1</v>
      </c>
      <c r="H316" s="1">
        <v>45994</v>
      </c>
      <c r="I316" s="1">
        <v>46000</v>
      </c>
      <c r="J316">
        <v>56</v>
      </c>
      <c r="K316">
        <v>1</v>
      </c>
      <c r="L316" t="s">
        <v>465</v>
      </c>
      <c r="M316" s="9" t="s">
        <v>19</v>
      </c>
      <c r="N316" s="3" t="str" cm="1">
        <f t="array" ref="N316">_xlfn.IFS(
OR(ISNUMBER(SEARCH("email",D316)),ISNUMBER(SEARCH("email",F316)),ISNUMBER(SEARCH("polish",D316)),ISNUMBER(SEARCH("rewrite",F316)),ISNUMBER(SEARCH("copy",F316))),"Writing and comms",
OR(ISNUMBER(SEARCH("research",F316)),ISNUMBER(SEARCH("intel",F316)),ISNUMBER(SEARCH("company",D316)),ISNUMBER(SEARCH("digger",D316))),"Research and intel",
OR(ISNUMBER(SEARCH("prompt",D316)),ISNUMBER(SEARCH("prompt",F316))),"Prompting help",
OR(ISNUMBER(SEARCH("role",D316)),ISNUMBER(SEARCH("scorecard",F316)),ISNUMBER(SEARCH("competenc",F316))),"Role and leadership advisory",
OR(ISNUMBER(SEARCH("meeting",F316)),ISNUMBER(SEARCH("notes",F316)),ISNUMBER(SEARCH("summary",F316))),"Meeting notes and summarization",
TRUE,"Other or fragmented"
)</f>
        <v>Other or fragmented</v>
      </c>
      <c r="O316" s="3" t="s">
        <v>64</v>
      </c>
      <c r="P316" s="3"/>
    </row>
    <row r="317" spans="1:16" x14ac:dyDescent="0.25">
      <c r="A317" t="s">
        <v>15</v>
      </c>
      <c r="B317" s="1">
        <v>45992</v>
      </c>
      <c r="C317" s="1">
        <v>46022</v>
      </c>
      <c r="E317" t="s">
        <v>24</v>
      </c>
      <c r="G317">
        <v>0</v>
      </c>
      <c r="J317">
        <v>0</v>
      </c>
      <c r="K317">
        <v>0</v>
      </c>
      <c r="L317" t="s">
        <v>465</v>
      </c>
      <c r="M317" s="10" t="s">
        <v>19</v>
      </c>
      <c r="N317" s="3" t="str" cm="1">
        <f t="array" ref="N317">_xlfn.IFS(
OR(ISNUMBER(SEARCH("email",D317)),ISNUMBER(SEARCH("email",F317)),ISNUMBER(SEARCH("polish",D317)),ISNUMBER(SEARCH("rewrite",F317)),ISNUMBER(SEARCH("copy",F317))),"Writing and comms",
OR(ISNUMBER(SEARCH("research",F317)),ISNUMBER(SEARCH("intel",F317)),ISNUMBER(SEARCH("company",D317)),ISNUMBER(SEARCH("digger",D317))),"Research and intel",
OR(ISNUMBER(SEARCH("prompt",D317)),ISNUMBER(SEARCH("prompt",F317))),"Prompting help",
OR(ISNUMBER(SEARCH("role",D317)),ISNUMBER(SEARCH("scorecard",F317)),ISNUMBER(SEARCH("competenc",F317))),"Role and leadership advisory",
OR(ISNUMBER(SEARCH("meeting",F317)),ISNUMBER(SEARCH("notes",F317)),ISNUMBER(SEARCH("summary",F317))),"Meeting notes and summarization",
TRUE,"Other or fragmented"
)</f>
        <v>Other or fragmented</v>
      </c>
      <c r="O317" s="3" t="s">
        <v>64</v>
      </c>
      <c r="P317" s="3"/>
    </row>
    <row r="318" spans="1:16" x14ac:dyDescent="0.25">
      <c r="A318" t="s">
        <v>15</v>
      </c>
      <c r="B318" s="1">
        <v>45992</v>
      </c>
      <c r="C318" s="1">
        <v>46022</v>
      </c>
      <c r="E318" t="s">
        <v>24</v>
      </c>
      <c r="G318">
        <v>0</v>
      </c>
      <c r="J318">
        <v>0</v>
      </c>
      <c r="K318">
        <v>0</v>
      </c>
      <c r="L318" t="s">
        <v>470</v>
      </c>
      <c r="M318" s="9" t="s">
        <v>19</v>
      </c>
      <c r="N318" s="3" t="str" cm="1">
        <f t="array" ref="N318">_xlfn.IFS(
OR(ISNUMBER(SEARCH("email",D318)),ISNUMBER(SEARCH("email",F318)),ISNUMBER(SEARCH("polish",D318)),ISNUMBER(SEARCH("rewrite",F318)),ISNUMBER(SEARCH("copy",F318))),"Writing and comms",
OR(ISNUMBER(SEARCH("research",F318)),ISNUMBER(SEARCH("intel",F318)),ISNUMBER(SEARCH("company",D318)),ISNUMBER(SEARCH("digger",D318))),"Research and intel",
OR(ISNUMBER(SEARCH("prompt",D318)),ISNUMBER(SEARCH("prompt",F318))),"Prompting help",
OR(ISNUMBER(SEARCH("role",D318)),ISNUMBER(SEARCH("scorecard",F318)),ISNUMBER(SEARCH("competenc",F318))),"Role and leadership advisory",
OR(ISNUMBER(SEARCH("meeting",F318)),ISNUMBER(SEARCH("notes",F318)),ISNUMBER(SEARCH("summary",F318))),"Meeting notes and summarization",
TRUE,"Other or fragmented"
)</f>
        <v>Other or fragmented</v>
      </c>
      <c r="O318" s="3" t="s">
        <v>20</v>
      </c>
      <c r="P318" s="3"/>
    </row>
    <row r="319" spans="1:16" x14ac:dyDescent="0.25">
      <c r="A319" t="s">
        <v>15</v>
      </c>
      <c r="B319" s="1">
        <v>45992</v>
      </c>
      <c r="C319" s="1">
        <v>46022</v>
      </c>
      <c r="D319" t="s">
        <v>471</v>
      </c>
      <c r="E319" t="s">
        <v>17</v>
      </c>
      <c r="F319" t="s">
        <v>472</v>
      </c>
      <c r="G319">
        <v>1</v>
      </c>
      <c r="H319" s="1">
        <v>45993</v>
      </c>
      <c r="I319" s="1">
        <v>45993</v>
      </c>
      <c r="J319">
        <v>8</v>
      </c>
      <c r="K319">
        <v>1</v>
      </c>
      <c r="L319" t="s">
        <v>473</v>
      </c>
      <c r="M319" s="10" t="s">
        <v>19</v>
      </c>
      <c r="N319" s="3" t="str" cm="1">
        <f t="array" ref="N319">_xlfn.IFS(
OR(ISNUMBER(SEARCH("email",D319)),ISNUMBER(SEARCH("email",F319)),ISNUMBER(SEARCH("polish",D319)),ISNUMBER(SEARCH("rewrite",F319)),ISNUMBER(SEARCH("copy",F319))),"Writing and comms",
OR(ISNUMBER(SEARCH("research",F319)),ISNUMBER(SEARCH("intel",F319)),ISNUMBER(SEARCH("company",D319)),ISNUMBER(SEARCH("digger",D319))),"Research and intel",
OR(ISNUMBER(SEARCH("prompt",D319)),ISNUMBER(SEARCH("prompt",F319))),"Prompting help",
OR(ISNUMBER(SEARCH("role",D319)),ISNUMBER(SEARCH("scorecard",F319)),ISNUMBER(SEARCH("competenc",F319))),"Role and leadership advisory",
OR(ISNUMBER(SEARCH("meeting",F319)),ISNUMBER(SEARCH("notes",F319)),ISNUMBER(SEARCH("summary",F319))),"Meeting notes and summarization",
TRUE,"Other or fragmented"
)</f>
        <v>Writing and comms</v>
      </c>
      <c r="O319" s="3" t="s">
        <v>20</v>
      </c>
      <c r="P319" s="3"/>
    </row>
    <row r="320" spans="1:16" x14ac:dyDescent="0.25">
      <c r="A320" t="s">
        <v>15</v>
      </c>
      <c r="B320" s="1">
        <v>45992</v>
      </c>
      <c r="C320" s="1">
        <v>46022</v>
      </c>
      <c r="E320" t="s">
        <v>24</v>
      </c>
      <c r="G320">
        <v>0</v>
      </c>
      <c r="J320">
        <v>0</v>
      </c>
      <c r="K320">
        <v>0</v>
      </c>
      <c r="L320" t="s">
        <v>473</v>
      </c>
      <c r="M320" s="9" t="s">
        <v>19</v>
      </c>
      <c r="N320" s="3" t="str" cm="1">
        <f t="array" ref="N320">_xlfn.IFS(
OR(ISNUMBER(SEARCH("email",D320)),ISNUMBER(SEARCH("email",F320)),ISNUMBER(SEARCH("polish",D320)),ISNUMBER(SEARCH("rewrite",F320)),ISNUMBER(SEARCH("copy",F320))),"Writing and comms",
OR(ISNUMBER(SEARCH("research",F320)),ISNUMBER(SEARCH("intel",F320)),ISNUMBER(SEARCH("company",D320)),ISNUMBER(SEARCH("digger",D320))),"Research and intel",
OR(ISNUMBER(SEARCH("prompt",D320)),ISNUMBER(SEARCH("prompt",F320))),"Prompting help",
OR(ISNUMBER(SEARCH("role",D320)),ISNUMBER(SEARCH("scorecard",F320)),ISNUMBER(SEARCH("competenc",F320))),"Role and leadership advisory",
OR(ISNUMBER(SEARCH("meeting",F320)),ISNUMBER(SEARCH("notes",F320)),ISNUMBER(SEARCH("summary",F320))),"Meeting notes and summarization",
TRUE,"Other or fragmented"
)</f>
        <v>Other or fragmented</v>
      </c>
      <c r="O320" s="3" t="s">
        <v>20</v>
      </c>
      <c r="P320" s="3"/>
    </row>
    <row r="321" spans="1:16" x14ac:dyDescent="0.25">
      <c r="A321" t="s">
        <v>15</v>
      </c>
      <c r="B321" s="1">
        <v>45992</v>
      </c>
      <c r="C321" s="1">
        <v>46022</v>
      </c>
      <c r="E321" t="s">
        <v>24</v>
      </c>
      <c r="G321">
        <v>0</v>
      </c>
      <c r="J321">
        <v>0</v>
      </c>
      <c r="K321">
        <v>0</v>
      </c>
      <c r="L321" t="s">
        <v>473</v>
      </c>
      <c r="M321" s="10" t="s">
        <v>19</v>
      </c>
      <c r="N321" s="3" t="str" cm="1">
        <f t="array" ref="N321">_xlfn.IFS(
OR(ISNUMBER(SEARCH("email",D321)),ISNUMBER(SEARCH("email",F321)),ISNUMBER(SEARCH("polish",D321)),ISNUMBER(SEARCH("rewrite",F321)),ISNUMBER(SEARCH("copy",F321))),"Writing and comms",
OR(ISNUMBER(SEARCH("research",F321)),ISNUMBER(SEARCH("intel",F321)),ISNUMBER(SEARCH("company",D321)),ISNUMBER(SEARCH("digger",D321))),"Research and intel",
OR(ISNUMBER(SEARCH("prompt",D321)),ISNUMBER(SEARCH("prompt",F321))),"Prompting help",
OR(ISNUMBER(SEARCH("role",D321)),ISNUMBER(SEARCH("scorecard",F321)),ISNUMBER(SEARCH("competenc",F321))),"Role and leadership advisory",
OR(ISNUMBER(SEARCH("meeting",F321)),ISNUMBER(SEARCH("notes",F321)),ISNUMBER(SEARCH("summary",F321))),"Meeting notes and summarization",
TRUE,"Other or fragmented"
)</f>
        <v>Other or fragmented</v>
      </c>
      <c r="O321" s="3" t="s">
        <v>20</v>
      </c>
      <c r="P321" s="3"/>
    </row>
    <row r="322" spans="1:16" x14ac:dyDescent="0.25">
      <c r="A322" t="s">
        <v>15</v>
      </c>
      <c r="B322" s="1">
        <v>45992</v>
      </c>
      <c r="C322" s="1">
        <v>46022</v>
      </c>
      <c r="E322" t="s">
        <v>24</v>
      </c>
      <c r="G322">
        <v>0</v>
      </c>
      <c r="J322">
        <v>0</v>
      </c>
      <c r="K322">
        <v>0</v>
      </c>
      <c r="L322" t="s">
        <v>473</v>
      </c>
      <c r="M322" s="9" t="s">
        <v>19</v>
      </c>
      <c r="N322" s="3" t="str" cm="1">
        <f t="array" ref="N322">_xlfn.IFS(
OR(ISNUMBER(SEARCH("email",D322)),ISNUMBER(SEARCH("email",F322)),ISNUMBER(SEARCH("polish",D322)),ISNUMBER(SEARCH("rewrite",F322)),ISNUMBER(SEARCH("copy",F322))),"Writing and comms",
OR(ISNUMBER(SEARCH("research",F322)),ISNUMBER(SEARCH("intel",F322)),ISNUMBER(SEARCH("company",D322)),ISNUMBER(SEARCH("digger",D322))),"Research and intel",
OR(ISNUMBER(SEARCH("prompt",D322)),ISNUMBER(SEARCH("prompt",F322))),"Prompting help",
OR(ISNUMBER(SEARCH("role",D322)),ISNUMBER(SEARCH("scorecard",F322)),ISNUMBER(SEARCH("competenc",F322))),"Role and leadership advisory",
OR(ISNUMBER(SEARCH("meeting",F322)),ISNUMBER(SEARCH("notes",F322)),ISNUMBER(SEARCH("summary",F322))),"Meeting notes and summarization",
TRUE,"Other or fragmented"
)</f>
        <v>Other or fragmented</v>
      </c>
      <c r="O322" s="3" t="s">
        <v>20</v>
      </c>
      <c r="P322" s="3"/>
    </row>
    <row r="323" spans="1:16" x14ac:dyDescent="0.25">
      <c r="A323" t="s">
        <v>15</v>
      </c>
      <c r="B323" s="1">
        <v>45992</v>
      </c>
      <c r="C323" s="1">
        <v>46022</v>
      </c>
      <c r="E323" t="s">
        <v>24</v>
      </c>
      <c r="G323">
        <v>0</v>
      </c>
      <c r="J323">
        <v>0</v>
      </c>
      <c r="K323">
        <v>0</v>
      </c>
      <c r="L323" t="s">
        <v>473</v>
      </c>
      <c r="M323" s="10" t="s">
        <v>19</v>
      </c>
      <c r="N323" s="3" t="str" cm="1">
        <f t="array" ref="N323">_xlfn.IFS(
OR(ISNUMBER(SEARCH("email",D323)),ISNUMBER(SEARCH("email",F323)),ISNUMBER(SEARCH("polish",D323)),ISNUMBER(SEARCH("rewrite",F323)),ISNUMBER(SEARCH("copy",F323))),"Writing and comms",
OR(ISNUMBER(SEARCH("research",F323)),ISNUMBER(SEARCH("intel",F323)),ISNUMBER(SEARCH("company",D323)),ISNUMBER(SEARCH("digger",D323))),"Research and intel",
OR(ISNUMBER(SEARCH("prompt",D323)),ISNUMBER(SEARCH("prompt",F323))),"Prompting help",
OR(ISNUMBER(SEARCH("role",D323)),ISNUMBER(SEARCH("scorecard",F323)),ISNUMBER(SEARCH("competenc",F323))),"Role and leadership advisory",
OR(ISNUMBER(SEARCH("meeting",F323)),ISNUMBER(SEARCH("notes",F323)),ISNUMBER(SEARCH("summary",F323))),"Meeting notes and summarization",
TRUE,"Other or fragmented"
)</f>
        <v>Other or fragmented</v>
      </c>
      <c r="O323" s="3" t="s">
        <v>20</v>
      </c>
      <c r="P323" s="3"/>
    </row>
    <row r="324" spans="1:16" x14ac:dyDescent="0.25">
      <c r="A324" t="s">
        <v>15</v>
      </c>
      <c r="B324" s="1">
        <v>45992</v>
      </c>
      <c r="C324" s="1">
        <v>46022</v>
      </c>
      <c r="E324" t="s">
        <v>24</v>
      </c>
      <c r="G324">
        <v>0</v>
      </c>
      <c r="J324">
        <v>0</v>
      </c>
      <c r="K324">
        <v>0</v>
      </c>
      <c r="L324" t="s">
        <v>473</v>
      </c>
      <c r="M324" s="9" t="s">
        <v>19</v>
      </c>
      <c r="N324" s="3" t="str" cm="1">
        <f t="array" ref="N324">_xlfn.IFS(
OR(ISNUMBER(SEARCH("email",D324)),ISNUMBER(SEARCH("email",F324)),ISNUMBER(SEARCH("polish",D324)),ISNUMBER(SEARCH("rewrite",F324)),ISNUMBER(SEARCH("copy",F324))),"Writing and comms",
OR(ISNUMBER(SEARCH("research",F324)),ISNUMBER(SEARCH("intel",F324)),ISNUMBER(SEARCH("company",D324)),ISNUMBER(SEARCH("digger",D324))),"Research and intel",
OR(ISNUMBER(SEARCH("prompt",D324)),ISNUMBER(SEARCH("prompt",F324))),"Prompting help",
OR(ISNUMBER(SEARCH("role",D324)),ISNUMBER(SEARCH("scorecard",F324)),ISNUMBER(SEARCH("competenc",F324))),"Role and leadership advisory",
OR(ISNUMBER(SEARCH("meeting",F324)),ISNUMBER(SEARCH("notes",F324)),ISNUMBER(SEARCH("summary",F324))),"Meeting notes and summarization",
TRUE,"Other or fragmented"
)</f>
        <v>Other or fragmented</v>
      </c>
      <c r="O324" s="3" t="s">
        <v>20</v>
      </c>
      <c r="P324" s="3"/>
    </row>
    <row r="325" spans="1:16" x14ac:dyDescent="0.25">
      <c r="A325" t="s">
        <v>15</v>
      </c>
      <c r="B325" s="1">
        <v>45992</v>
      </c>
      <c r="C325" s="1">
        <v>46022</v>
      </c>
      <c r="E325" t="s">
        <v>24</v>
      </c>
      <c r="G325">
        <v>0</v>
      </c>
      <c r="J325">
        <v>0</v>
      </c>
      <c r="K325">
        <v>0</v>
      </c>
      <c r="L325" t="s">
        <v>473</v>
      </c>
      <c r="M325" s="10" t="s">
        <v>19</v>
      </c>
      <c r="N325" s="3" t="str" cm="1">
        <f t="array" ref="N325">_xlfn.IFS(
OR(ISNUMBER(SEARCH("email",D325)),ISNUMBER(SEARCH("email",F325)),ISNUMBER(SEARCH("polish",D325)),ISNUMBER(SEARCH("rewrite",F325)),ISNUMBER(SEARCH("copy",F325))),"Writing and comms",
OR(ISNUMBER(SEARCH("research",F325)),ISNUMBER(SEARCH("intel",F325)),ISNUMBER(SEARCH("company",D325)),ISNUMBER(SEARCH("digger",D325))),"Research and intel",
OR(ISNUMBER(SEARCH("prompt",D325)),ISNUMBER(SEARCH("prompt",F325))),"Prompting help",
OR(ISNUMBER(SEARCH("role",D325)),ISNUMBER(SEARCH("scorecard",F325)),ISNUMBER(SEARCH("competenc",F325))),"Role and leadership advisory",
OR(ISNUMBER(SEARCH("meeting",F325)),ISNUMBER(SEARCH("notes",F325)),ISNUMBER(SEARCH("summary",F325))),"Meeting notes and summarization",
TRUE,"Other or fragmented"
)</f>
        <v>Other or fragmented</v>
      </c>
      <c r="O325" s="3" t="s">
        <v>20</v>
      </c>
      <c r="P325" s="3"/>
    </row>
    <row r="326" spans="1:16" x14ac:dyDescent="0.25">
      <c r="A326" t="s">
        <v>15</v>
      </c>
      <c r="B326" s="1">
        <v>45992</v>
      </c>
      <c r="C326" s="1">
        <v>46022</v>
      </c>
      <c r="E326" t="s">
        <v>24</v>
      </c>
      <c r="G326">
        <v>0</v>
      </c>
      <c r="J326">
        <v>0</v>
      </c>
      <c r="K326">
        <v>0</v>
      </c>
      <c r="L326" t="s">
        <v>474</v>
      </c>
      <c r="M326" s="9" t="s">
        <v>19</v>
      </c>
      <c r="N326" s="3" t="str" cm="1">
        <f t="array" ref="N326">_xlfn.IFS(
OR(ISNUMBER(SEARCH("email",D326)),ISNUMBER(SEARCH("email",F326)),ISNUMBER(SEARCH("polish",D326)),ISNUMBER(SEARCH("rewrite",F326)),ISNUMBER(SEARCH("copy",F326))),"Writing and comms",
OR(ISNUMBER(SEARCH("research",F326)),ISNUMBER(SEARCH("intel",F326)),ISNUMBER(SEARCH("company",D326)),ISNUMBER(SEARCH("digger",D326))),"Research and intel",
OR(ISNUMBER(SEARCH("prompt",D326)),ISNUMBER(SEARCH("prompt",F326))),"Prompting help",
OR(ISNUMBER(SEARCH("role",D326)),ISNUMBER(SEARCH("scorecard",F326)),ISNUMBER(SEARCH("competenc",F326))),"Role and leadership advisory",
OR(ISNUMBER(SEARCH("meeting",F326)),ISNUMBER(SEARCH("notes",F326)),ISNUMBER(SEARCH("summary",F326))),"Meeting notes and summarization",
TRUE,"Other or fragmented"
)</f>
        <v>Other or fragmented</v>
      </c>
      <c r="O326" s="3" t="s">
        <v>20</v>
      </c>
      <c r="P326" s="3"/>
    </row>
    <row r="327" spans="1:16" x14ac:dyDescent="0.25">
      <c r="A327" t="s">
        <v>15</v>
      </c>
      <c r="B327" s="1">
        <v>45992</v>
      </c>
      <c r="C327" s="1">
        <v>46022</v>
      </c>
      <c r="D327" t="s">
        <v>475</v>
      </c>
      <c r="E327" t="s">
        <v>17</v>
      </c>
      <c r="G327">
        <v>1</v>
      </c>
      <c r="H327" s="1">
        <v>45994</v>
      </c>
      <c r="I327" s="1">
        <v>45994</v>
      </c>
      <c r="J327">
        <v>1</v>
      </c>
      <c r="K327">
        <v>1</v>
      </c>
      <c r="L327" t="s">
        <v>476</v>
      </c>
      <c r="M327" s="10" t="s">
        <v>19</v>
      </c>
      <c r="N327" s="3" t="str" cm="1">
        <f t="array" ref="N327">_xlfn.IFS(
OR(ISNUMBER(SEARCH("email",D327)),ISNUMBER(SEARCH("email",F327)),ISNUMBER(SEARCH("polish",D327)),ISNUMBER(SEARCH("rewrite",F327)),ISNUMBER(SEARCH("copy",F327))),"Writing and comms",
OR(ISNUMBER(SEARCH("research",F327)),ISNUMBER(SEARCH("intel",F327)),ISNUMBER(SEARCH("company",D327)),ISNUMBER(SEARCH("digger",D327))),"Research and intel",
OR(ISNUMBER(SEARCH("prompt",D327)),ISNUMBER(SEARCH("prompt",F327))),"Prompting help",
OR(ISNUMBER(SEARCH("role",D327)),ISNUMBER(SEARCH("scorecard",F327)),ISNUMBER(SEARCH("competenc",F327))),"Role and leadership advisory",
OR(ISNUMBER(SEARCH("meeting",F327)),ISNUMBER(SEARCH("notes",F327)),ISNUMBER(SEARCH("summary",F327))),"Meeting notes and summarization",
TRUE,"Other or fragmented"
)</f>
        <v>Other or fragmented</v>
      </c>
      <c r="O327" s="3" t="s">
        <v>20</v>
      </c>
      <c r="P327" s="3"/>
    </row>
    <row r="328" spans="1:16" x14ac:dyDescent="0.25">
      <c r="A328" t="s">
        <v>15</v>
      </c>
      <c r="B328" s="1">
        <v>45992</v>
      </c>
      <c r="C328" s="1">
        <v>46022</v>
      </c>
      <c r="D328" t="s">
        <v>477</v>
      </c>
      <c r="E328" t="s">
        <v>17</v>
      </c>
      <c r="G328">
        <v>0</v>
      </c>
      <c r="J328">
        <v>0</v>
      </c>
      <c r="K328">
        <v>0</v>
      </c>
      <c r="L328" t="s">
        <v>476</v>
      </c>
      <c r="M328" s="9" t="s">
        <v>19</v>
      </c>
      <c r="N328" s="3" t="str" cm="1">
        <f t="array" ref="N328">_xlfn.IFS(
OR(ISNUMBER(SEARCH("email",D328)),ISNUMBER(SEARCH("email",F328)),ISNUMBER(SEARCH("polish",D328)),ISNUMBER(SEARCH("rewrite",F328)),ISNUMBER(SEARCH("copy",F328))),"Writing and comms",
OR(ISNUMBER(SEARCH("research",F328)),ISNUMBER(SEARCH("intel",F328)),ISNUMBER(SEARCH("company",D328)),ISNUMBER(SEARCH("digger",D328))),"Research and intel",
OR(ISNUMBER(SEARCH("prompt",D328)),ISNUMBER(SEARCH("prompt",F328))),"Prompting help",
OR(ISNUMBER(SEARCH("role",D328)),ISNUMBER(SEARCH("scorecard",F328)),ISNUMBER(SEARCH("competenc",F328))),"Role and leadership advisory",
OR(ISNUMBER(SEARCH("meeting",F328)),ISNUMBER(SEARCH("notes",F328)),ISNUMBER(SEARCH("summary",F328))),"Meeting notes and summarization",
TRUE,"Other or fragmented"
)</f>
        <v>Other or fragmented</v>
      </c>
      <c r="O328" s="3" t="s">
        <v>20</v>
      </c>
      <c r="P328" s="3"/>
    </row>
    <row r="329" spans="1:16" x14ac:dyDescent="0.25">
      <c r="A329" t="s">
        <v>15</v>
      </c>
      <c r="B329" s="1">
        <v>45992</v>
      </c>
      <c r="C329" s="1">
        <v>46022</v>
      </c>
      <c r="D329" t="s">
        <v>478</v>
      </c>
      <c r="E329" t="s">
        <v>24</v>
      </c>
      <c r="G329">
        <v>0</v>
      </c>
      <c r="J329">
        <v>0</v>
      </c>
      <c r="K329">
        <v>0</v>
      </c>
      <c r="L329" t="s">
        <v>476</v>
      </c>
      <c r="M329" s="10" t="s">
        <v>19</v>
      </c>
      <c r="N329" s="3" t="str" cm="1">
        <f t="array" ref="N329">_xlfn.IFS(
OR(ISNUMBER(SEARCH("email",D329)),ISNUMBER(SEARCH("email",F329)),ISNUMBER(SEARCH("polish",D329)),ISNUMBER(SEARCH("rewrite",F329)),ISNUMBER(SEARCH("copy",F329))),"Writing and comms",
OR(ISNUMBER(SEARCH("research",F329)),ISNUMBER(SEARCH("intel",F329)),ISNUMBER(SEARCH("company",D329)),ISNUMBER(SEARCH("digger",D329))),"Research and intel",
OR(ISNUMBER(SEARCH("prompt",D329)),ISNUMBER(SEARCH("prompt",F329))),"Prompting help",
OR(ISNUMBER(SEARCH("role",D329)),ISNUMBER(SEARCH("scorecard",F329)),ISNUMBER(SEARCH("competenc",F329))),"Role and leadership advisory",
OR(ISNUMBER(SEARCH("meeting",F329)),ISNUMBER(SEARCH("notes",F329)),ISNUMBER(SEARCH("summary",F329))),"Meeting notes and summarization",
TRUE,"Other or fragmented"
)</f>
        <v>Other or fragmented</v>
      </c>
      <c r="O329" s="3" t="s">
        <v>20</v>
      </c>
      <c r="P329" s="3"/>
    </row>
    <row r="330" spans="1:16" x14ac:dyDescent="0.25">
      <c r="A330" t="s">
        <v>15</v>
      </c>
      <c r="B330" s="1">
        <v>45992</v>
      </c>
      <c r="C330" s="1">
        <v>46022</v>
      </c>
      <c r="D330" t="s">
        <v>479</v>
      </c>
      <c r="E330" t="s">
        <v>17</v>
      </c>
      <c r="F330" t="s">
        <v>480</v>
      </c>
      <c r="G330">
        <v>0</v>
      </c>
      <c r="J330">
        <v>0</v>
      </c>
      <c r="K330">
        <v>0</v>
      </c>
      <c r="L330" t="s">
        <v>481</v>
      </c>
      <c r="M330" s="9" t="s">
        <v>19</v>
      </c>
      <c r="N330" s="3" t="str" cm="1">
        <f t="array" ref="N330">_xlfn.IFS(
OR(ISNUMBER(SEARCH("email",D330)),ISNUMBER(SEARCH("email",F330)),ISNUMBER(SEARCH("polish",D330)),ISNUMBER(SEARCH("rewrite",F330)),ISNUMBER(SEARCH("copy",F330))),"Writing and comms",
OR(ISNUMBER(SEARCH("research",F330)),ISNUMBER(SEARCH("intel",F330)),ISNUMBER(SEARCH("company",D330)),ISNUMBER(SEARCH("digger",D330))),"Research and intel",
OR(ISNUMBER(SEARCH("prompt",D330)),ISNUMBER(SEARCH("prompt",F330))),"Prompting help",
OR(ISNUMBER(SEARCH("role",D330)),ISNUMBER(SEARCH("scorecard",F330)),ISNUMBER(SEARCH("competenc",F330))),"Role and leadership advisory",
OR(ISNUMBER(SEARCH("meeting",F330)),ISNUMBER(SEARCH("notes",F330)),ISNUMBER(SEARCH("summary",F330))),"Meeting notes and summarization",
TRUE,"Other or fragmented"
)</f>
        <v>Other or fragmented</v>
      </c>
      <c r="O330" s="3" t="s">
        <v>20</v>
      </c>
      <c r="P330" s="3"/>
    </row>
    <row r="331" spans="1:16" x14ac:dyDescent="0.25">
      <c r="A331" t="s">
        <v>15</v>
      </c>
      <c r="B331" s="1">
        <v>45992</v>
      </c>
      <c r="C331" s="1">
        <v>46022</v>
      </c>
      <c r="E331" t="s">
        <v>24</v>
      </c>
      <c r="G331">
        <v>0</v>
      </c>
      <c r="J331">
        <v>0</v>
      </c>
      <c r="K331">
        <v>0</v>
      </c>
      <c r="L331" t="s">
        <v>482</v>
      </c>
      <c r="M331" s="10" t="s">
        <v>19</v>
      </c>
      <c r="N331" s="3" t="str" cm="1">
        <f t="array" ref="N331">_xlfn.IFS(
OR(ISNUMBER(SEARCH("email",D331)),ISNUMBER(SEARCH("email",F331)),ISNUMBER(SEARCH("polish",D331)),ISNUMBER(SEARCH("rewrite",F331)),ISNUMBER(SEARCH("copy",F331))),"Writing and comms",
OR(ISNUMBER(SEARCH("research",F331)),ISNUMBER(SEARCH("intel",F331)),ISNUMBER(SEARCH("company",D331)),ISNUMBER(SEARCH("digger",D331))),"Research and intel",
OR(ISNUMBER(SEARCH("prompt",D331)),ISNUMBER(SEARCH("prompt",F331))),"Prompting help",
OR(ISNUMBER(SEARCH("role",D331)),ISNUMBER(SEARCH("scorecard",F331)),ISNUMBER(SEARCH("competenc",F331))),"Role and leadership advisory",
OR(ISNUMBER(SEARCH("meeting",F331)),ISNUMBER(SEARCH("notes",F331)),ISNUMBER(SEARCH("summary",F331))),"Meeting notes and summarization",
TRUE,"Other or fragmented"
)</f>
        <v>Other or fragmented</v>
      </c>
      <c r="O331" s="3" t="s">
        <v>20</v>
      </c>
      <c r="P331" s="3"/>
    </row>
    <row r="332" spans="1:16" x14ac:dyDescent="0.25">
      <c r="A332" t="s">
        <v>15</v>
      </c>
      <c r="B332" s="1">
        <v>45992</v>
      </c>
      <c r="C332" s="1">
        <v>46022</v>
      </c>
      <c r="D332" t="s">
        <v>483</v>
      </c>
      <c r="E332" t="s">
        <v>24</v>
      </c>
      <c r="F332" t="s">
        <v>484</v>
      </c>
      <c r="G332">
        <v>1</v>
      </c>
      <c r="H332" s="1">
        <v>46021</v>
      </c>
      <c r="I332" s="1">
        <v>46021</v>
      </c>
      <c r="J332">
        <v>5</v>
      </c>
      <c r="K332">
        <v>1</v>
      </c>
      <c r="L332" t="s">
        <v>485</v>
      </c>
      <c r="M332" s="9" t="s">
        <v>19</v>
      </c>
      <c r="N332" s="3" t="str" cm="1">
        <f t="array" ref="N332">_xlfn.IFS(
OR(ISNUMBER(SEARCH("email",D332)),ISNUMBER(SEARCH("email",F332)),ISNUMBER(SEARCH("polish",D332)),ISNUMBER(SEARCH("rewrite",F332)),ISNUMBER(SEARCH("copy",F332))),"Writing and comms",
OR(ISNUMBER(SEARCH("research",F332)),ISNUMBER(SEARCH("intel",F332)),ISNUMBER(SEARCH("company",D332)),ISNUMBER(SEARCH("digger",D332))),"Research and intel",
OR(ISNUMBER(SEARCH("prompt",D332)),ISNUMBER(SEARCH("prompt",F332))),"Prompting help",
OR(ISNUMBER(SEARCH("role",D332)),ISNUMBER(SEARCH("scorecard",F332)),ISNUMBER(SEARCH("competenc",F332))),"Role and leadership advisory",
OR(ISNUMBER(SEARCH("meeting",F332)),ISNUMBER(SEARCH("notes",F332)),ISNUMBER(SEARCH("summary",F332))),"Meeting notes and summarization",
TRUE,"Other or fragmented"
)</f>
        <v>Other or fragmented</v>
      </c>
      <c r="O332" s="3" t="s">
        <v>20</v>
      </c>
      <c r="P332" s="3"/>
    </row>
    <row r="333" spans="1:16" x14ac:dyDescent="0.25">
      <c r="A333" t="s">
        <v>15</v>
      </c>
      <c r="B333" s="1">
        <v>45992</v>
      </c>
      <c r="C333" s="1">
        <v>46022</v>
      </c>
      <c r="D333" t="s">
        <v>486</v>
      </c>
      <c r="E333" t="s">
        <v>17</v>
      </c>
      <c r="F333" t="s">
        <v>487</v>
      </c>
      <c r="G333">
        <v>1</v>
      </c>
      <c r="H333" s="1">
        <v>45992</v>
      </c>
      <c r="I333" s="1">
        <v>46020</v>
      </c>
      <c r="J333">
        <v>97</v>
      </c>
      <c r="K333">
        <v>12</v>
      </c>
      <c r="L333" t="s">
        <v>488</v>
      </c>
      <c r="M333" s="10" t="s">
        <v>19</v>
      </c>
      <c r="N333" s="3" t="str" cm="1">
        <f t="array" ref="N333">_xlfn.IFS(
OR(ISNUMBER(SEARCH("email",D333)),ISNUMBER(SEARCH("email",F333)),ISNUMBER(SEARCH("polish",D333)),ISNUMBER(SEARCH("rewrite",F333)),ISNUMBER(SEARCH("copy",F333))),"Writing and comms",
OR(ISNUMBER(SEARCH("research",F333)),ISNUMBER(SEARCH("intel",F333)),ISNUMBER(SEARCH("company",D333)),ISNUMBER(SEARCH("digger",D333))),"Research and intel",
OR(ISNUMBER(SEARCH("prompt",D333)),ISNUMBER(SEARCH("prompt",F333))),"Prompting help",
OR(ISNUMBER(SEARCH("role",D333)),ISNUMBER(SEARCH("scorecard",F333)),ISNUMBER(SEARCH("competenc",F333))),"Role and leadership advisory",
OR(ISNUMBER(SEARCH("meeting",F333)),ISNUMBER(SEARCH("notes",F333)),ISNUMBER(SEARCH("summary",F333))),"Meeting notes and summarization",
TRUE,"Other or fragmented"
)</f>
        <v>Writing and comms</v>
      </c>
      <c r="O333" s="3" t="s">
        <v>20</v>
      </c>
      <c r="P333" s="3"/>
    </row>
    <row r="334" spans="1:16" x14ac:dyDescent="0.25">
      <c r="A334" t="s">
        <v>15</v>
      </c>
      <c r="B334" s="1">
        <v>45992</v>
      </c>
      <c r="C334" s="1">
        <v>46022</v>
      </c>
      <c r="D334" t="s">
        <v>489</v>
      </c>
      <c r="E334" t="s">
        <v>24</v>
      </c>
      <c r="F334" t="s">
        <v>490</v>
      </c>
      <c r="G334">
        <v>1</v>
      </c>
      <c r="H334" s="1">
        <v>46001</v>
      </c>
      <c r="I334" s="1">
        <v>46001</v>
      </c>
      <c r="J334">
        <v>18</v>
      </c>
      <c r="K334">
        <v>1</v>
      </c>
      <c r="L334" t="s">
        <v>491</v>
      </c>
      <c r="M334" s="9" t="s">
        <v>19</v>
      </c>
      <c r="N334" s="3" t="str" cm="1">
        <f t="array" ref="N334">_xlfn.IFS(
OR(ISNUMBER(SEARCH("email",D334)),ISNUMBER(SEARCH("email",F334)),ISNUMBER(SEARCH("polish",D334)),ISNUMBER(SEARCH("rewrite",F334)),ISNUMBER(SEARCH("copy",F334))),"Writing and comms",
OR(ISNUMBER(SEARCH("research",F334)),ISNUMBER(SEARCH("intel",F334)),ISNUMBER(SEARCH("company",D334)),ISNUMBER(SEARCH("digger",D334))),"Research and intel",
OR(ISNUMBER(SEARCH("prompt",D334)),ISNUMBER(SEARCH("prompt",F334))),"Prompting help",
OR(ISNUMBER(SEARCH("role",D334)),ISNUMBER(SEARCH("scorecard",F334)),ISNUMBER(SEARCH("competenc",F334))),"Role and leadership advisory",
OR(ISNUMBER(SEARCH("meeting",F334)),ISNUMBER(SEARCH("notes",F334)),ISNUMBER(SEARCH("summary",F334))),"Meeting notes and summarization",
TRUE,"Other or fragmented"
)</f>
        <v>Research and intel</v>
      </c>
      <c r="O334" s="3" t="s">
        <v>20</v>
      </c>
      <c r="P334" s="3"/>
    </row>
    <row r="335" spans="1:16" x14ac:dyDescent="0.25">
      <c r="A335" t="s">
        <v>15</v>
      </c>
      <c r="B335" s="1">
        <v>45992</v>
      </c>
      <c r="C335" s="1">
        <v>46022</v>
      </c>
      <c r="D335" t="s">
        <v>492</v>
      </c>
      <c r="E335" t="s">
        <v>17</v>
      </c>
      <c r="F335" t="s">
        <v>493</v>
      </c>
      <c r="G335">
        <v>1</v>
      </c>
      <c r="H335" s="1">
        <v>45992</v>
      </c>
      <c r="I335" s="1">
        <v>45995</v>
      </c>
      <c r="J335">
        <v>39</v>
      </c>
      <c r="K335">
        <v>1</v>
      </c>
      <c r="L335" t="s">
        <v>494</v>
      </c>
      <c r="M335" s="10" t="s">
        <v>19</v>
      </c>
      <c r="N335" s="3" t="str" cm="1">
        <f t="array" ref="N335">_xlfn.IFS(
OR(ISNUMBER(SEARCH("email",D335)),ISNUMBER(SEARCH("email",F335)),ISNUMBER(SEARCH("polish",D335)),ISNUMBER(SEARCH("rewrite",F335)),ISNUMBER(SEARCH("copy",F335))),"Writing and comms",
OR(ISNUMBER(SEARCH("research",F335)),ISNUMBER(SEARCH("intel",F335)),ISNUMBER(SEARCH("company",D335)),ISNUMBER(SEARCH("digger",D335))),"Research and intel",
OR(ISNUMBER(SEARCH("prompt",D335)),ISNUMBER(SEARCH("prompt",F335))),"Prompting help",
OR(ISNUMBER(SEARCH("role",D335)),ISNUMBER(SEARCH("scorecard",F335)),ISNUMBER(SEARCH("competenc",F335))),"Role and leadership advisory",
OR(ISNUMBER(SEARCH("meeting",F335)),ISNUMBER(SEARCH("notes",F335)),ISNUMBER(SEARCH("summary",F335))),"Meeting notes and summarization",
TRUE,"Other or fragmented"
)</f>
        <v>Meeting notes and summarization</v>
      </c>
      <c r="O335" s="3" t="s">
        <v>20</v>
      </c>
      <c r="P335" s="3"/>
    </row>
    <row r="336" spans="1:16" x14ac:dyDescent="0.25">
      <c r="A336" t="s">
        <v>15</v>
      </c>
      <c r="B336" s="1">
        <v>45992</v>
      </c>
      <c r="C336" s="1">
        <v>46022</v>
      </c>
      <c r="D336" t="s">
        <v>495</v>
      </c>
      <c r="E336" t="s">
        <v>17</v>
      </c>
      <c r="F336" t="s">
        <v>496</v>
      </c>
      <c r="G336">
        <v>1</v>
      </c>
      <c r="H336" s="1">
        <v>45994</v>
      </c>
      <c r="I336" s="1">
        <v>46004</v>
      </c>
      <c r="J336">
        <v>113</v>
      </c>
      <c r="K336">
        <v>1</v>
      </c>
      <c r="L336" t="s">
        <v>494</v>
      </c>
      <c r="M336" s="9" t="s">
        <v>19</v>
      </c>
      <c r="N336" s="3" t="str" cm="1">
        <f t="array" ref="N336">_xlfn.IFS(
OR(ISNUMBER(SEARCH("email",D336)),ISNUMBER(SEARCH("email",F336)),ISNUMBER(SEARCH("polish",D336)),ISNUMBER(SEARCH("rewrite",F336)),ISNUMBER(SEARCH("copy",F336))),"Writing and comms",
OR(ISNUMBER(SEARCH("research",F336)),ISNUMBER(SEARCH("intel",F336)),ISNUMBER(SEARCH("company",D336)),ISNUMBER(SEARCH("digger",D336))),"Research and intel",
OR(ISNUMBER(SEARCH("prompt",D336)),ISNUMBER(SEARCH("prompt",F336))),"Prompting help",
OR(ISNUMBER(SEARCH("role",D336)),ISNUMBER(SEARCH("scorecard",F336)),ISNUMBER(SEARCH("competenc",F336))),"Role and leadership advisory",
OR(ISNUMBER(SEARCH("meeting",F336)),ISNUMBER(SEARCH("notes",F336)),ISNUMBER(SEARCH("summary",F336))),"Meeting notes and summarization",
TRUE,"Other or fragmented"
)</f>
        <v>Other or fragmented</v>
      </c>
      <c r="O336" s="3" t="s">
        <v>20</v>
      </c>
      <c r="P336" s="3"/>
    </row>
    <row r="337" spans="1:16" x14ac:dyDescent="0.25">
      <c r="A337" t="s">
        <v>15</v>
      </c>
      <c r="B337" s="1">
        <v>45992</v>
      </c>
      <c r="C337" s="1">
        <v>46022</v>
      </c>
      <c r="D337" t="s">
        <v>497</v>
      </c>
      <c r="E337" t="s">
        <v>17</v>
      </c>
      <c r="F337" t="s">
        <v>498</v>
      </c>
      <c r="G337">
        <v>1</v>
      </c>
      <c r="H337" s="1">
        <v>45992</v>
      </c>
      <c r="I337" s="1">
        <v>46009</v>
      </c>
      <c r="J337">
        <v>261</v>
      </c>
      <c r="K337">
        <v>1</v>
      </c>
      <c r="L337" t="s">
        <v>494</v>
      </c>
      <c r="M337" s="10" t="s">
        <v>19</v>
      </c>
      <c r="N337" s="3" t="str" cm="1">
        <f t="array" ref="N337">_xlfn.IFS(
OR(ISNUMBER(SEARCH("email",D337)),ISNUMBER(SEARCH("email",F337)),ISNUMBER(SEARCH("polish",D337)),ISNUMBER(SEARCH("rewrite",F337)),ISNUMBER(SEARCH("copy",F337))),"Writing and comms",
OR(ISNUMBER(SEARCH("research",F337)),ISNUMBER(SEARCH("intel",F337)),ISNUMBER(SEARCH("company",D337)),ISNUMBER(SEARCH("digger",D337))),"Research and intel",
OR(ISNUMBER(SEARCH("prompt",D337)),ISNUMBER(SEARCH("prompt",F337))),"Prompting help",
OR(ISNUMBER(SEARCH("role",D337)),ISNUMBER(SEARCH("scorecard",F337)),ISNUMBER(SEARCH("competenc",F337))),"Role and leadership advisory",
OR(ISNUMBER(SEARCH("meeting",F337)),ISNUMBER(SEARCH("notes",F337)),ISNUMBER(SEARCH("summary",F337))),"Meeting notes and summarization",
TRUE,"Other or fragmented"
)</f>
        <v>Other or fragmented</v>
      </c>
      <c r="O337" s="3" t="s">
        <v>20</v>
      </c>
      <c r="P337" s="3"/>
    </row>
    <row r="338" spans="1:16" x14ac:dyDescent="0.25">
      <c r="A338" t="s">
        <v>15</v>
      </c>
      <c r="B338" s="1">
        <v>45992</v>
      </c>
      <c r="C338" s="1">
        <v>46022</v>
      </c>
      <c r="D338" t="s">
        <v>499</v>
      </c>
      <c r="E338" t="s">
        <v>17</v>
      </c>
      <c r="F338" t="s">
        <v>500</v>
      </c>
      <c r="G338">
        <v>0</v>
      </c>
      <c r="J338">
        <v>0</v>
      </c>
      <c r="K338">
        <v>0</v>
      </c>
      <c r="L338" t="s">
        <v>501</v>
      </c>
      <c r="M338" s="9" t="s">
        <v>19</v>
      </c>
      <c r="N338" s="3" t="str" cm="1">
        <f t="array" ref="N338">_xlfn.IFS(
OR(ISNUMBER(SEARCH("email",D338)),ISNUMBER(SEARCH("email",F338)),ISNUMBER(SEARCH("polish",D338)),ISNUMBER(SEARCH("rewrite",F338)),ISNUMBER(SEARCH("copy",F338))),"Writing and comms",
OR(ISNUMBER(SEARCH("research",F338)),ISNUMBER(SEARCH("intel",F338)),ISNUMBER(SEARCH("company",D338)),ISNUMBER(SEARCH("digger",D338))),"Research and intel",
OR(ISNUMBER(SEARCH("prompt",D338)),ISNUMBER(SEARCH("prompt",F338))),"Prompting help",
OR(ISNUMBER(SEARCH("role",D338)),ISNUMBER(SEARCH("scorecard",F338)),ISNUMBER(SEARCH("competenc",F338))),"Role and leadership advisory",
OR(ISNUMBER(SEARCH("meeting",F338)),ISNUMBER(SEARCH("notes",F338)),ISNUMBER(SEARCH("summary",F338))),"Meeting notes and summarization",
TRUE,"Other or fragmented"
)</f>
        <v>Other or fragmented</v>
      </c>
      <c r="O338" s="3" t="s">
        <v>20</v>
      </c>
      <c r="P338" s="3"/>
    </row>
    <row r="339" spans="1:16" x14ac:dyDescent="0.25">
      <c r="A339" t="s">
        <v>15</v>
      </c>
      <c r="B339" s="1">
        <v>45992</v>
      </c>
      <c r="C339" s="1">
        <v>46022</v>
      </c>
      <c r="D339" t="s">
        <v>502</v>
      </c>
      <c r="E339" t="s">
        <v>17</v>
      </c>
      <c r="F339" t="s">
        <v>503</v>
      </c>
      <c r="G339">
        <v>0</v>
      </c>
      <c r="J339">
        <v>0</v>
      </c>
      <c r="K339">
        <v>0</v>
      </c>
      <c r="L339" t="s">
        <v>501</v>
      </c>
      <c r="M339" s="10" t="s">
        <v>19</v>
      </c>
      <c r="N339" s="3" t="str" cm="1">
        <f t="array" ref="N339">_xlfn.IFS(
OR(ISNUMBER(SEARCH("email",D339)),ISNUMBER(SEARCH("email",F339)),ISNUMBER(SEARCH("polish",D339)),ISNUMBER(SEARCH("rewrite",F339)),ISNUMBER(SEARCH("copy",F339))),"Writing and comms",
OR(ISNUMBER(SEARCH("research",F339)),ISNUMBER(SEARCH("intel",F339)),ISNUMBER(SEARCH("company",D339)),ISNUMBER(SEARCH("digger",D339))),"Research and intel",
OR(ISNUMBER(SEARCH("prompt",D339)),ISNUMBER(SEARCH("prompt",F339))),"Prompting help",
OR(ISNUMBER(SEARCH("role",D339)),ISNUMBER(SEARCH("scorecard",F339)),ISNUMBER(SEARCH("competenc",F339))),"Role and leadership advisory",
OR(ISNUMBER(SEARCH("meeting",F339)),ISNUMBER(SEARCH("notes",F339)),ISNUMBER(SEARCH("summary",F339))),"Meeting notes and summarization",
TRUE,"Other or fragmented"
)</f>
        <v>Other or fragmented</v>
      </c>
      <c r="O339" s="3" t="s">
        <v>20</v>
      </c>
      <c r="P339" s="3"/>
    </row>
    <row r="340" spans="1:16" x14ac:dyDescent="0.25">
      <c r="A340" t="s">
        <v>15</v>
      </c>
      <c r="B340" s="1">
        <v>45992</v>
      </c>
      <c r="C340" s="1">
        <v>46022</v>
      </c>
      <c r="D340" t="s">
        <v>504</v>
      </c>
      <c r="E340" t="s">
        <v>24</v>
      </c>
      <c r="F340" t="s">
        <v>505</v>
      </c>
      <c r="G340">
        <v>0</v>
      </c>
      <c r="J340">
        <v>0</v>
      </c>
      <c r="K340">
        <v>0</v>
      </c>
      <c r="L340" t="s">
        <v>501</v>
      </c>
      <c r="M340" s="9" t="s">
        <v>19</v>
      </c>
      <c r="N340" s="3" t="str" cm="1">
        <f t="array" ref="N340">_xlfn.IFS(
OR(ISNUMBER(SEARCH("email",D340)),ISNUMBER(SEARCH("email",F340)),ISNUMBER(SEARCH("polish",D340)),ISNUMBER(SEARCH("rewrite",F340)),ISNUMBER(SEARCH("copy",F340))),"Writing and comms",
OR(ISNUMBER(SEARCH("research",F340)),ISNUMBER(SEARCH("intel",F340)),ISNUMBER(SEARCH("company",D340)),ISNUMBER(SEARCH("digger",D340))),"Research and intel",
OR(ISNUMBER(SEARCH("prompt",D340)),ISNUMBER(SEARCH("prompt",F340))),"Prompting help",
OR(ISNUMBER(SEARCH("role",D340)),ISNUMBER(SEARCH("scorecard",F340)),ISNUMBER(SEARCH("competenc",F340))),"Role and leadership advisory",
OR(ISNUMBER(SEARCH("meeting",F340)),ISNUMBER(SEARCH("notes",F340)),ISNUMBER(SEARCH("summary",F340))),"Meeting notes and summarization",
TRUE,"Other or fragmented"
)</f>
        <v>Other or fragmented</v>
      </c>
      <c r="O340" s="3" t="s">
        <v>20</v>
      </c>
      <c r="P340" s="3"/>
    </row>
    <row r="341" spans="1:16" x14ac:dyDescent="0.25">
      <c r="A341" t="s">
        <v>15</v>
      </c>
      <c r="B341" s="1">
        <v>45992</v>
      </c>
      <c r="C341" s="1">
        <v>46022</v>
      </c>
      <c r="D341" t="s">
        <v>506</v>
      </c>
      <c r="E341" t="s">
        <v>17</v>
      </c>
      <c r="F341" t="s">
        <v>507</v>
      </c>
      <c r="G341">
        <v>0</v>
      </c>
      <c r="J341">
        <v>0</v>
      </c>
      <c r="K341">
        <v>0</v>
      </c>
      <c r="L341" t="s">
        <v>501</v>
      </c>
      <c r="M341" s="10" t="s">
        <v>12</v>
      </c>
      <c r="N341" s="3" t="str" cm="1">
        <f t="array" ref="N341">_xlfn.IFS(
OR(ISNUMBER(SEARCH("email",D341)),ISNUMBER(SEARCH("email",F341)),ISNUMBER(SEARCH("polish",D341)),ISNUMBER(SEARCH("rewrite",F341)),ISNUMBER(SEARCH("copy",F341))),"Writing and comms",
OR(ISNUMBER(SEARCH("research",F341)),ISNUMBER(SEARCH("intel",F341)),ISNUMBER(SEARCH("company",D341)),ISNUMBER(SEARCH("digger",D341))),"Research and intel",
OR(ISNUMBER(SEARCH("prompt",D341)),ISNUMBER(SEARCH("prompt",F341))),"Prompting help",
OR(ISNUMBER(SEARCH("role",D341)),ISNUMBER(SEARCH("scorecard",F341)),ISNUMBER(SEARCH("competenc",F341))),"Role and leadership advisory",
OR(ISNUMBER(SEARCH("meeting",F341)),ISNUMBER(SEARCH("notes",F341)),ISNUMBER(SEARCH("summary",F341))),"Meeting notes and summarization",
TRUE,"Other or fragmented"
)</f>
        <v>Prompting help</v>
      </c>
      <c r="O341" s="3" t="s">
        <v>20</v>
      </c>
      <c r="P341" s="3"/>
    </row>
    <row r="342" spans="1:16" x14ac:dyDescent="0.25">
      <c r="A342" t="s">
        <v>15</v>
      </c>
      <c r="B342" s="1">
        <v>45992</v>
      </c>
      <c r="C342" s="1">
        <v>46022</v>
      </c>
      <c r="D342" t="s">
        <v>508</v>
      </c>
      <c r="E342" t="s">
        <v>24</v>
      </c>
      <c r="G342">
        <v>0</v>
      </c>
      <c r="J342">
        <v>0</v>
      </c>
      <c r="K342">
        <v>0</v>
      </c>
      <c r="L342" t="s">
        <v>501</v>
      </c>
      <c r="M342" s="9" t="s">
        <v>19</v>
      </c>
      <c r="N342" s="3" t="str" cm="1">
        <f t="array" ref="N342">_xlfn.IFS(
OR(ISNUMBER(SEARCH("email",D342)),ISNUMBER(SEARCH("email",F342)),ISNUMBER(SEARCH("polish",D342)),ISNUMBER(SEARCH("rewrite",F342)),ISNUMBER(SEARCH("copy",F342))),"Writing and comms",
OR(ISNUMBER(SEARCH("research",F342)),ISNUMBER(SEARCH("intel",F342)),ISNUMBER(SEARCH("company",D342)),ISNUMBER(SEARCH("digger",D342))),"Research and intel",
OR(ISNUMBER(SEARCH("prompt",D342)),ISNUMBER(SEARCH("prompt",F342))),"Prompting help",
OR(ISNUMBER(SEARCH("role",D342)),ISNUMBER(SEARCH("scorecard",F342)),ISNUMBER(SEARCH("competenc",F342))),"Role and leadership advisory",
OR(ISNUMBER(SEARCH("meeting",F342)),ISNUMBER(SEARCH("notes",F342)),ISNUMBER(SEARCH("summary",F342))),"Meeting notes and summarization",
TRUE,"Other or fragmented"
)</f>
        <v>Other or fragmented</v>
      </c>
      <c r="O342" s="3" t="s">
        <v>20</v>
      </c>
      <c r="P342" s="3"/>
    </row>
    <row r="343" spans="1:16" x14ac:dyDescent="0.25">
      <c r="A343" t="s">
        <v>15</v>
      </c>
      <c r="B343" s="1">
        <v>45992</v>
      </c>
      <c r="C343" s="1">
        <v>46022</v>
      </c>
      <c r="D343" t="s">
        <v>509</v>
      </c>
      <c r="E343" t="s">
        <v>17</v>
      </c>
      <c r="F343" t="s">
        <v>510</v>
      </c>
      <c r="G343">
        <v>0</v>
      </c>
      <c r="J343">
        <v>0</v>
      </c>
      <c r="K343">
        <v>0</v>
      </c>
      <c r="L343" t="s">
        <v>501</v>
      </c>
      <c r="M343" s="10" t="s">
        <v>19</v>
      </c>
      <c r="N343" s="3" t="str" cm="1">
        <f t="array" ref="N343">_xlfn.IFS(
OR(ISNUMBER(SEARCH("email",D343)),ISNUMBER(SEARCH("email",F343)),ISNUMBER(SEARCH("polish",D343)),ISNUMBER(SEARCH("rewrite",F343)),ISNUMBER(SEARCH("copy",F343))),"Writing and comms",
OR(ISNUMBER(SEARCH("research",F343)),ISNUMBER(SEARCH("intel",F343)),ISNUMBER(SEARCH("company",D343)),ISNUMBER(SEARCH("digger",D343))),"Research and intel",
OR(ISNUMBER(SEARCH("prompt",D343)),ISNUMBER(SEARCH("prompt",F343))),"Prompting help",
OR(ISNUMBER(SEARCH("role",D343)),ISNUMBER(SEARCH("scorecard",F343)),ISNUMBER(SEARCH("competenc",F343))),"Role and leadership advisory",
OR(ISNUMBER(SEARCH("meeting",F343)),ISNUMBER(SEARCH("notes",F343)),ISNUMBER(SEARCH("summary",F343))),"Meeting notes and summarization",
TRUE,"Other or fragmented"
)</f>
        <v>Other or fragmented</v>
      </c>
      <c r="O343" s="3" t="s">
        <v>20</v>
      </c>
      <c r="P343" s="3"/>
    </row>
    <row r="344" spans="1:16" x14ac:dyDescent="0.25">
      <c r="A344" t="s">
        <v>15</v>
      </c>
      <c r="B344" s="1">
        <v>45992</v>
      </c>
      <c r="C344" s="1">
        <v>46022</v>
      </c>
      <c r="D344" t="s">
        <v>511</v>
      </c>
      <c r="E344" t="s">
        <v>17</v>
      </c>
      <c r="F344" t="s">
        <v>512</v>
      </c>
      <c r="G344">
        <v>0</v>
      </c>
      <c r="J344">
        <v>0</v>
      </c>
      <c r="K344">
        <v>0</v>
      </c>
      <c r="L344" t="s">
        <v>501</v>
      </c>
      <c r="M344" s="9" t="s">
        <v>19</v>
      </c>
      <c r="N344" s="3" t="str" cm="1">
        <f t="array" ref="N344">_xlfn.IFS(
OR(ISNUMBER(SEARCH("email",D344)),ISNUMBER(SEARCH("email",F344)),ISNUMBER(SEARCH("polish",D344)),ISNUMBER(SEARCH("rewrite",F344)),ISNUMBER(SEARCH("copy",F344))),"Writing and comms",
OR(ISNUMBER(SEARCH("research",F344)),ISNUMBER(SEARCH("intel",F344)),ISNUMBER(SEARCH("company",D344)),ISNUMBER(SEARCH("digger",D344))),"Research and intel",
OR(ISNUMBER(SEARCH("prompt",D344)),ISNUMBER(SEARCH("prompt",F344))),"Prompting help",
OR(ISNUMBER(SEARCH("role",D344)),ISNUMBER(SEARCH("scorecard",F344)),ISNUMBER(SEARCH("competenc",F344))),"Role and leadership advisory",
OR(ISNUMBER(SEARCH("meeting",F344)),ISNUMBER(SEARCH("notes",F344)),ISNUMBER(SEARCH("summary",F344))),"Meeting notes and summarization",
TRUE,"Other or fragmented"
)</f>
        <v>Other or fragmented</v>
      </c>
      <c r="O344" s="3" t="s">
        <v>20</v>
      </c>
      <c r="P344" s="3"/>
    </row>
    <row r="345" spans="1:16" x14ac:dyDescent="0.25">
      <c r="A345" t="s">
        <v>15</v>
      </c>
      <c r="B345" s="1">
        <v>45992</v>
      </c>
      <c r="C345" s="1">
        <v>46022</v>
      </c>
      <c r="E345" t="s">
        <v>24</v>
      </c>
      <c r="G345">
        <v>0</v>
      </c>
      <c r="J345">
        <v>0</v>
      </c>
      <c r="K345">
        <v>0</v>
      </c>
      <c r="L345" t="s">
        <v>501</v>
      </c>
      <c r="M345" s="10" t="s">
        <v>19</v>
      </c>
      <c r="N345" s="3" t="str" cm="1">
        <f t="array" ref="N345">_xlfn.IFS(
OR(ISNUMBER(SEARCH("email",D345)),ISNUMBER(SEARCH("email",F345)),ISNUMBER(SEARCH("polish",D345)),ISNUMBER(SEARCH("rewrite",F345)),ISNUMBER(SEARCH("copy",F345))),"Writing and comms",
OR(ISNUMBER(SEARCH("research",F345)),ISNUMBER(SEARCH("intel",F345)),ISNUMBER(SEARCH("company",D345)),ISNUMBER(SEARCH("digger",D345))),"Research and intel",
OR(ISNUMBER(SEARCH("prompt",D345)),ISNUMBER(SEARCH("prompt",F345))),"Prompting help",
OR(ISNUMBER(SEARCH("role",D345)),ISNUMBER(SEARCH("scorecard",F345)),ISNUMBER(SEARCH("competenc",F345))),"Role and leadership advisory",
OR(ISNUMBER(SEARCH("meeting",F345)),ISNUMBER(SEARCH("notes",F345)),ISNUMBER(SEARCH("summary",F345))),"Meeting notes and summarization",
TRUE,"Other or fragmented"
)</f>
        <v>Other or fragmented</v>
      </c>
      <c r="O345" s="3" t="s">
        <v>20</v>
      </c>
      <c r="P345" s="3"/>
    </row>
    <row r="346" spans="1:16" x14ac:dyDescent="0.25">
      <c r="A346" t="s">
        <v>15</v>
      </c>
      <c r="B346" s="1">
        <v>45992</v>
      </c>
      <c r="C346" s="1">
        <v>46022</v>
      </c>
      <c r="D346" t="s">
        <v>509</v>
      </c>
      <c r="E346" t="s">
        <v>24</v>
      </c>
      <c r="G346">
        <v>0</v>
      </c>
      <c r="J346">
        <v>0</v>
      </c>
      <c r="K346">
        <v>0</v>
      </c>
      <c r="L346" t="s">
        <v>501</v>
      </c>
      <c r="M346" s="9" t="s">
        <v>19</v>
      </c>
      <c r="N346" s="3" t="str" cm="1">
        <f t="array" ref="N346">_xlfn.IFS(
OR(ISNUMBER(SEARCH("email",D346)),ISNUMBER(SEARCH("email",F346)),ISNUMBER(SEARCH("polish",D346)),ISNUMBER(SEARCH("rewrite",F346)),ISNUMBER(SEARCH("copy",F346))),"Writing and comms",
OR(ISNUMBER(SEARCH("research",F346)),ISNUMBER(SEARCH("intel",F346)),ISNUMBER(SEARCH("company",D346)),ISNUMBER(SEARCH("digger",D346))),"Research and intel",
OR(ISNUMBER(SEARCH("prompt",D346)),ISNUMBER(SEARCH("prompt",F346))),"Prompting help",
OR(ISNUMBER(SEARCH("role",D346)),ISNUMBER(SEARCH("scorecard",F346)),ISNUMBER(SEARCH("competenc",F346))),"Role and leadership advisory",
OR(ISNUMBER(SEARCH("meeting",F346)),ISNUMBER(SEARCH("notes",F346)),ISNUMBER(SEARCH("summary",F346))),"Meeting notes and summarization",
TRUE,"Other or fragmented"
)</f>
        <v>Other or fragmented</v>
      </c>
      <c r="O346" s="3" t="s">
        <v>20</v>
      </c>
      <c r="P346" s="3"/>
    </row>
    <row r="347" spans="1:16" x14ac:dyDescent="0.25">
      <c r="A347" t="s">
        <v>15</v>
      </c>
      <c r="B347" s="1">
        <v>45992</v>
      </c>
      <c r="C347" s="1">
        <v>46022</v>
      </c>
      <c r="D347" t="s">
        <v>513</v>
      </c>
      <c r="E347" t="s">
        <v>17</v>
      </c>
      <c r="F347" t="s">
        <v>514</v>
      </c>
      <c r="G347">
        <v>0</v>
      </c>
      <c r="J347">
        <v>0</v>
      </c>
      <c r="K347">
        <v>0</v>
      </c>
      <c r="L347" t="s">
        <v>501</v>
      </c>
      <c r="M347" s="10" t="s">
        <v>19</v>
      </c>
      <c r="N347" s="3" t="str" cm="1">
        <f t="array" ref="N347">_xlfn.IFS(
OR(ISNUMBER(SEARCH("email",D347)),ISNUMBER(SEARCH("email",F347)),ISNUMBER(SEARCH("polish",D347)),ISNUMBER(SEARCH("rewrite",F347)),ISNUMBER(SEARCH("copy",F347))),"Writing and comms",
OR(ISNUMBER(SEARCH("research",F347)),ISNUMBER(SEARCH("intel",F347)),ISNUMBER(SEARCH("company",D347)),ISNUMBER(SEARCH("digger",D347))),"Research and intel",
OR(ISNUMBER(SEARCH("prompt",D347)),ISNUMBER(SEARCH("prompt",F347))),"Prompting help",
OR(ISNUMBER(SEARCH("role",D347)),ISNUMBER(SEARCH("scorecard",F347)),ISNUMBER(SEARCH("competenc",F347))),"Role and leadership advisory",
OR(ISNUMBER(SEARCH("meeting",F347)),ISNUMBER(SEARCH("notes",F347)),ISNUMBER(SEARCH("summary",F347))),"Meeting notes and summarization",
TRUE,"Other or fragmented"
)</f>
        <v>Other or fragmented</v>
      </c>
      <c r="O347" s="3" t="s">
        <v>20</v>
      </c>
      <c r="P347" s="3"/>
    </row>
    <row r="348" spans="1:16" x14ac:dyDescent="0.25">
      <c r="A348" t="s">
        <v>15</v>
      </c>
      <c r="B348" s="1">
        <v>45992</v>
      </c>
      <c r="C348" s="1">
        <v>46022</v>
      </c>
      <c r="D348" t="s">
        <v>515</v>
      </c>
      <c r="E348" t="s">
        <v>17</v>
      </c>
      <c r="F348" t="s">
        <v>516</v>
      </c>
      <c r="G348">
        <v>0</v>
      </c>
      <c r="J348">
        <v>0</v>
      </c>
      <c r="K348">
        <v>0</v>
      </c>
      <c r="L348" t="s">
        <v>501</v>
      </c>
      <c r="M348" s="9" t="s">
        <v>12</v>
      </c>
      <c r="N348" s="3" t="str" cm="1">
        <f t="array" ref="N348">_xlfn.IFS(
OR(ISNUMBER(SEARCH("email",D348)),ISNUMBER(SEARCH("email",F348)),ISNUMBER(SEARCH("polish",D348)),ISNUMBER(SEARCH("rewrite",F348)),ISNUMBER(SEARCH("copy",F348))),"Writing and comms",
OR(ISNUMBER(SEARCH("research",F348)),ISNUMBER(SEARCH("intel",F348)),ISNUMBER(SEARCH("company",D348)),ISNUMBER(SEARCH("digger",D348))),"Research and intel",
OR(ISNUMBER(SEARCH("prompt",D348)),ISNUMBER(SEARCH("prompt",F348))),"Prompting help",
OR(ISNUMBER(SEARCH("role",D348)),ISNUMBER(SEARCH("scorecard",F348)),ISNUMBER(SEARCH("competenc",F348))),"Role and leadership advisory",
OR(ISNUMBER(SEARCH("meeting",F348)),ISNUMBER(SEARCH("notes",F348)),ISNUMBER(SEARCH("summary",F348))),"Meeting notes and summarization",
TRUE,"Other or fragmented"
)</f>
        <v>Prompting help</v>
      </c>
      <c r="O348" s="3" t="s">
        <v>20</v>
      </c>
      <c r="P348" s="3"/>
    </row>
    <row r="349" spans="1:16" x14ac:dyDescent="0.25">
      <c r="A349" t="s">
        <v>15</v>
      </c>
      <c r="B349" s="1">
        <v>45992</v>
      </c>
      <c r="C349" s="1">
        <v>46022</v>
      </c>
      <c r="D349" t="s">
        <v>517</v>
      </c>
      <c r="E349" t="s">
        <v>17</v>
      </c>
      <c r="F349" t="s">
        <v>518</v>
      </c>
      <c r="G349">
        <v>1</v>
      </c>
      <c r="H349" s="1">
        <v>45992</v>
      </c>
      <c r="I349" s="1">
        <v>46013</v>
      </c>
      <c r="J349">
        <v>378</v>
      </c>
      <c r="K349">
        <v>1</v>
      </c>
      <c r="L349" t="s">
        <v>519</v>
      </c>
      <c r="M349" s="10" t="s">
        <v>19</v>
      </c>
      <c r="N349" s="3" t="str" cm="1">
        <f t="array" ref="N349">_xlfn.IFS(
OR(ISNUMBER(SEARCH("email",D349)),ISNUMBER(SEARCH("email",F349)),ISNUMBER(SEARCH("polish",D349)),ISNUMBER(SEARCH("rewrite",F349)),ISNUMBER(SEARCH("copy",F349))),"Writing and comms",
OR(ISNUMBER(SEARCH("research",F349)),ISNUMBER(SEARCH("intel",F349)),ISNUMBER(SEARCH("company",D349)),ISNUMBER(SEARCH("digger",D349))),"Research and intel",
OR(ISNUMBER(SEARCH("prompt",D349)),ISNUMBER(SEARCH("prompt",F349))),"Prompting help",
OR(ISNUMBER(SEARCH("role",D349)),ISNUMBER(SEARCH("scorecard",F349)),ISNUMBER(SEARCH("competenc",F349))),"Role and leadership advisory",
OR(ISNUMBER(SEARCH("meeting",F349)),ISNUMBER(SEARCH("notes",F349)),ISNUMBER(SEARCH("summary",F349))),"Meeting notes and summarization",
TRUE,"Other or fragmented"
)</f>
        <v>Research and intel</v>
      </c>
      <c r="O349" s="3" t="s">
        <v>20</v>
      </c>
      <c r="P349" s="3"/>
    </row>
    <row r="350" spans="1:16" x14ac:dyDescent="0.25">
      <c r="A350" t="s">
        <v>15</v>
      </c>
      <c r="B350" s="1">
        <v>45992</v>
      </c>
      <c r="C350" s="1">
        <v>46022</v>
      </c>
      <c r="D350" t="s">
        <v>520</v>
      </c>
      <c r="E350" t="s">
        <v>17</v>
      </c>
      <c r="F350" t="s">
        <v>521</v>
      </c>
      <c r="G350">
        <v>0</v>
      </c>
      <c r="J350">
        <v>0</v>
      </c>
      <c r="K350">
        <v>0</v>
      </c>
      <c r="L350" t="s">
        <v>519</v>
      </c>
      <c r="M350" s="9" t="s">
        <v>19</v>
      </c>
      <c r="N350" s="3" t="str" cm="1">
        <f t="array" ref="N350">_xlfn.IFS(
OR(ISNUMBER(SEARCH("email",D350)),ISNUMBER(SEARCH("email",F350)),ISNUMBER(SEARCH("polish",D350)),ISNUMBER(SEARCH("rewrite",F350)),ISNUMBER(SEARCH("copy",F350))),"Writing and comms",
OR(ISNUMBER(SEARCH("research",F350)),ISNUMBER(SEARCH("intel",F350)),ISNUMBER(SEARCH("company",D350)),ISNUMBER(SEARCH("digger",D350))),"Research and intel",
OR(ISNUMBER(SEARCH("prompt",D350)),ISNUMBER(SEARCH("prompt",F350))),"Prompting help",
OR(ISNUMBER(SEARCH("role",D350)),ISNUMBER(SEARCH("scorecard",F350)),ISNUMBER(SEARCH("competenc",F350))),"Role and leadership advisory",
OR(ISNUMBER(SEARCH("meeting",F350)),ISNUMBER(SEARCH("notes",F350)),ISNUMBER(SEARCH("summary",F350))),"Meeting notes and summarization",
TRUE,"Other or fragmented"
)</f>
        <v>Research and intel</v>
      </c>
      <c r="O350" s="3" t="s">
        <v>20</v>
      </c>
      <c r="P350" s="3"/>
    </row>
    <row r="351" spans="1:16" x14ac:dyDescent="0.25">
      <c r="A351" t="s">
        <v>15</v>
      </c>
      <c r="B351" s="1">
        <v>45992</v>
      </c>
      <c r="C351" s="1">
        <v>46022</v>
      </c>
      <c r="D351" t="s">
        <v>522</v>
      </c>
      <c r="E351" t="s">
        <v>24</v>
      </c>
      <c r="F351" t="s">
        <v>523</v>
      </c>
      <c r="G351">
        <v>0</v>
      </c>
      <c r="J351">
        <v>0</v>
      </c>
      <c r="K351">
        <v>0</v>
      </c>
      <c r="L351" t="s">
        <v>519</v>
      </c>
      <c r="M351" s="10" t="s">
        <v>19</v>
      </c>
      <c r="N351" s="3" t="str" cm="1">
        <f t="array" ref="N351">_xlfn.IFS(
OR(ISNUMBER(SEARCH("email",D351)),ISNUMBER(SEARCH("email",F351)),ISNUMBER(SEARCH("polish",D351)),ISNUMBER(SEARCH("rewrite",F351)),ISNUMBER(SEARCH("copy",F351))),"Writing and comms",
OR(ISNUMBER(SEARCH("research",F351)),ISNUMBER(SEARCH("intel",F351)),ISNUMBER(SEARCH("company",D351)),ISNUMBER(SEARCH("digger",D351))),"Research and intel",
OR(ISNUMBER(SEARCH("prompt",D351)),ISNUMBER(SEARCH("prompt",F351))),"Prompting help",
OR(ISNUMBER(SEARCH("role",D351)),ISNUMBER(SEARCH("scorecard",F351)),ISNUMBER(SEARCH("competenc",F351))),"Role and leadership advisory",
OR(ISNUMBER(SEARCH("meeting",F351)),ISNUMBER(SEARCH("notes",F351)),ISNUMBER(SEARCH("summary",F351))),"Meeting notes and summarization",
TRUE,"Other or fragmented"
)</f>
        <v>Research and intel</v>
      </c>
      <c r="O351" s="3" t="s">
        <v>20</v>
      </c>
      <c r="P351" s="3"/>
    </row>
    <row r="352" spans="1:16" x14ac:dyDescent="0.25">
      <c r="A352" t="s">
        <v>15</v>
      </c>
      <c r="B352" s="1">
        <v>45992</v>
      </c>
      <c r="C352" s="1">
        <v>46022</v>
      </c>
      <c r="D352" t="s">
        <v>524</v>
      </c>
      <c r="E352" t="s">
        <v>17</v>
      </c>
      <c r="F352" t="s">
        <v>525</v>
      </c>
      <c r="G352">
        <v>0</v>
      </c>
      <c r="J352">
        <v>0</v>
      </c>
      <c r="K352">
        <v>0</v>
      </c>
      <c r="L352" t="s">
        <v>519</v>
      </c>
      <c r="M352" s="9" t="s">
        <v>19</v>
      </c>
      <c r="N352" s="3" t="str" cm="1">
        <f t="array" ref="N352">_xlfn.IFS(
OR(ISNUMBER(SEARCH("email",D352)),ISNUMBER(SEARCH("email",F352)),ISNUMBER(SEARCH("polish",D352)),ISNUMBER(SEARCH("rewrite",F352)),ISNUMBER(SEARCH("copy",F352))),"Writing and comms",
OR(ISNUMBER(SEARCH("research",F352)),ISNUMBER(SEARCH("intel",F352)),ISNUMBER(SEARCH("company",D352)),ISNUMBER(SEARCH("digger",D352))),"Research and intel",
OR(ISNUMBER(SEARCH("prompt",D352)),ISNUMBER(SEARCH("prompt",F352))),"Prompting help",
OR(ISNUMBER(SEARCH("role",D352)),ISNUMBER(SEARCH("scorecard",F352)),ISNUMBER(SEARCH("competenc",F352))),"Role and leadership advisory",
OR(ISNUMBER(SEARCH("meeting",F352)),ISNUMBER(SEARCH("notes",F352)),ISNUMBER(SEARCH("summary",F352))),"Meeting notes and summarization",
TRUE,"Other or fragmented"
)</f>
        <v>Research and intel</v>
      </c>
      <c r="O352" s="3" t="s">
        <v>20</v>
      </c>
      <c r="P352" s="3"/>
    </row>
    <row r="353" spans="1:16" x14ac:dyDescent="0.25">
      <c r="A353" t="s">
        <v>15</v>
      </c>
      <c r="B353" s="1">
        <v>45992</v>
      </c>
      <c r="C353" s="1">
        <v>46022</v>
      </c>
      <c r="D353" t="s">
        <v>526</v>
      </c>
      <c r="E353" t="s">
        <v>17</v>
      </c>
      <c r="F353" t="s">
        <v>527</v>
      </c>
      <c r="G353">
        <v>1</v>
      </c>
      <c r="H353" s="1">
        <v>46000</v>
      </c>
      <c r="I353" s="1">
        <v>46008</v>
      </c>
      <c r="J353">
        <v>9</v>
      </c>
      <c r="K353">
        <v>1</v>
      </c>
      <c r="L353" t="s">
        <v>528</v>
      </c>
      <c r="M353" s="10" t="s">
        <v>19</v>
      </c>
      <c r="N353" s="3" t="str" cm="1">
        <f t="array" ref="N353">_xlfn.IFS(
OR(ISNUMBER(SEARCH("email",D353)),ISNUMBER(SEARCH("email",F353)),ISNUMBER(SEARCH("polish",D353)),ISNUMBER(SEARCH("rewrite",F353)),ISNUMBER(SEARCH("copy",F353))),"Writing and comms",
OR(ISNUMBER(SEARCH("research",F353)),ISNUMBER(SEARCH("intel",F353)),ISNUMBER(SEARCH("company",D353)),ISNUMBER(SEARCH("digger",D353))),"Research and intel",
OR(ISNUMBER(SEARCH("prompt",D353)),ISNUMBER(SEARCH("prompt",F353))),"Prompting help",
OR(ISNUMBER(SEARCH("role",D353)),ISNUMBER(SEARCH("scorecard",F353)),ISNUMBER(SEARCH("competenc",F353))),"Role and leadership advisory",
OR(ISNUMBER(SEARCH("meeting",F353)),ISNUMBER(SEARCH("notes",F353)),ISNUMBER(SEARCH("summary",F353))),"Meeting notes and summarization",
TRUE,"Other or fragmented"
)</f>
        <v>Other or fragmented</v>
      </c>
      <c r="O353" s="3" t="s">
        <v>20</v>
      </c>
      <c r="P353" s="3"/>
    </row>
    <row r="354" spans="1:16" x14ac:dyDescent="0.25">
      <c r="A354" t="s">
        <v>15</v>
      </c>
      <c r="B354" s="1">
        <v>45992</v>
      </c>
      <c r="C354" s="1">
        <v>46022</v>
      </c>
      <c r="E354" t="s">
        <v>24</v>
      </c>
      <c r="G354">
        <v>0</v>
      </c>
      <c r="J354">
        <v>0</v>
      </c>
      <c r="K354">
        <v>0</v>
      </c>
      <c r="L354" t="s">
        <v>528</v>
      </c>
      <c r="M354" s="9" t="s">
        <v>19</v>
      </c>
      <c r="N354" s="3" t="str" cm="1">
        <f t="array" ref="N354">_xlfn.IFS(
OR(ISNUMBER(SEARCH("email",D354)),ISNUMBER(SEARCH("email",F354)),ISNUMBER(SEARCH("polish",D354)),ISNUMBER(SEARCH("rewrite",F354)),ISNUMBER(SEARCH("copy",F354))),"Writing and comms",
OR(ISNUMBER(SEARCH("research",F354)),ISNUMBER(SEARCH("intel",F354)),ISNUMBER(SEARCH("company",D354)),ISNUMBER(SEARCH("digger",D354))),"Research and intel",
OR(ISNUMBER(SEARCH("prompt",D354)),ISNUMBER(SEARCH("prompt",F354))),"Prompting help",
OR(ISNUMBER(SEARCH("role",D354)),ISNUMBER(SEARCH("scorecard",F354)),ISNUMBER(SEARCH("competenc",F354))),"Role and leadership advisory",
OR(ISNUMBER(SEARCH("meeting",F354)),ISNUMBER(SEARCH("notes",F354)),ISNUMBER(SEARCH("summary",F354))),"Meeting notes and summarization",
TRUE,"Other or fragmented"
)</f>
        <v>Other or fragmented</v>
      </c>
      <c r="O354" s="3" t="s">
        <v>20</v>
      </c>
      <c r="P354" s="3"/>
    </row>
    <row r="355" spans="1:16" x14ac:dyDescent="0.25">
      <c r="A355" t="s">
        <v>15</v>
      </c>
      <c r="B355" s="1">
        <v>45992</v>
      </c>
      <c r="C355" s="1">
        <v>46022</v>
      </c>
      <c r="E355" t="s">
        <v>24</v>
      </c>
      <c r="G355">
        <v>0</v>
      </c>
      <c r="J355">
        <v>0</v>
      </c>
      <c r="K355">
        <v>0</v>
      </c>
      <c r="L355" t="s">
        <v>529</v>
      </c>
      <c r="M355" s="10" t="s">
        <v>19</v>
      </c>
      <c r="N355" s="3" t="str" cm="1">
        <f t="array" ref="N355">_xlfn.IFS(
OR(ISNUMBER(SEARCH("email",D355)),ISNUMBER(SEARCH("email",F355)),ISNUMBER(SEARCH("polish",D355)),ISNUMBER(SEARCH("rewrite",F355)),ISNUMBER(SEARCH("copy",F355))),"Writing and comms",
OR(ISNUMBER(SEARCH("research",F355)),ISNUMBER(SEARCH("intel",F355)),ISNUMBER(SEARCH("company",D355)),ISNUMBER(SEARCH("digger",D355))),"Research and intel",
OR(ISNUMBER(SEARCH("prompt",D355)),ISNUMBER(SEARCH("prompt",F355))),"Prompting help",
OR(ISNUMBER(SEARCH("role",D355)),ISNUMBER(SEARCH("scorecard",F355)),ISNUMBER(SEARCH("competenc",F355))),"Role and leadership advisory",
OR(ISNUMBER(SEARCH("meeting",F355)),ISNUMBER(SEARCH("notes",F355)),ISNUMBER(SEARCH("summary",F355))),"Meeting notes and summarization",
TRUE,"Other or fragmented"
)</f>
        <v>Other or fragmented</v>
      </c>
      <c r="O355" s="3" t="s">
        <v>20</v>
      </c>
      <c r="P355" s="3"/>
    </row>
    <row r="356" spans="1:16" x14ac:dyDescent="0.25">
      <c r="A356" t="s">
        <v>15</v>
      </c>
      <c r="B356" s="1">
        <v>45992</v>
      </c>
      <c r="C356" s="1">
        <v>46022</v>
      </c>
      <c r="E356" t="s">
        <v>24</v>
      </c>
      <c r="G356">
        <v>0</v>
      </c>
      <c r="J356">
        <v>0</v>
      </c>
      <c r="K356">
        <v>0</v>
      </c>
      <c r="L356" t="s">
        <v>529</v>
      </c>
      <c r="M356" s="9" t="s">
        <v>19</v>
      </c>
      <c r="N356" s="3" t="str" cm="1">
        <f t="array" ref="N356">_xlfn.IFS(
OR(ISNUMBER(SEARCH("email",D356)),ISNUMBER(SEARCH("email",F356)),ISNUMBER(SEARCH("polish",D356)),ISNUMBER(SEARCH("rewrite",F356)),ISNUMBER(SEARCH("copy",F356))),"Writing and comms",
OR(ISNUMBER(SEARCH("research",F356)),ISNUMBER(SEARCH("intel",F356)),ISNUMBER(SEARCH("company",D356)),ISNUMBER(SEARCH("digger",D356))),"Research and intel",
OR(ISNUMBER(SEARCH("prompt",D356)),ISNUMBER(SEARCH("prompt",F356))),"Prompting help",
OR(ISNUMBER(SEARCH("role",D356)),ISNUMBER(SEARCH("scorecard",F356)),ISNUMBER(SEARCH("competenc",F356))),"Role and leadership advisory",
OR(ISNUMBER(SEARCH("meeting",F356)),ISNUMBER(SEARCH("notes",F356)),ISNUMBER(SEARCH("summary",F356))),"Meeting notes and summarization",
TRUE,"Other or fragmented"
)</f>
        <v>Other or fragmented</v>
      </c>
      <c r="O356" s="3" t="s">
        <v>20</v>
      </c>
      <c r="P356" s="3"/>
    </row>
    <row r="357" spans="1:16" x14ac:dyDescent="0.25">
      <c r="A357" t="s">
        <v>15</v>
      </c>
      <c r="B357" s="1">
        <v>45992</v>
      </c>
      <c r="C357" s="1">
        <v>46022</v>
      </c>
      <c r="E357" t="s">
        <v>24</v>
      </c>
      <c r="G357">
        <v>0</v>
      </c>
      <c r="J357">
        <v>0</v>
      </c>
      <c r="K357">
        <v>0</v>
      </c>
      <c r="L357" t="s">
        <v>529</v>
      </c>
      <c r="M357" s="10" t="s">
        <v>19</v>
      </c>
      <c r="N357" s="3" t="str" cm="1">
        <f t="array" ref="N357">_xlfn.IFS(
OR(ISNUMBER(SEARCH("email",D357)),ISNUMBER(SEARCH("email",F357)),ISNUMBER(SEARCH("polish",D357)),ISNUMBER(SEARCH("rewrite",F357)),ISNUMBER(SEARCH("copy",F357))),"Writing and comms",
OR(ISNUMBER(SEARCH("research",F357)),ISNUMBER(SEARCH("intel",F357)),ISNUMBER(SEARCH("company",D357)),ISNUMBER(SEARCH("digger",D357))),"Research and intel",
OR(ISNUMBER(SEARCH("prompt",D357)),ISNUMBER(SEARCH("prompt",F357))),"Prompting help",
OR(ISNUMBER(SEARCH("role",D357)),ISNUMBER(SEARCH("scorecard",F357)),ISNUMBER(SEARCH("competenc",F357))),"Role and leadership advisory",
OR(ISNUMBER(SEARCH("meeting",F357)),ISNUMBER(SEARCH("notes",F357)),ISNUMBER(SEARCH("summary",F357))),"Meeting notes and summarization",
TRUE,"Other or fragmented"
)</f>
        <v>Other or fragmented</v>
      </c>
      <c r="O357" s="3" t="s">
        <v>20</v>
      </c>
      <c r="P357" s="3"/>
    </row>
    <row r="358" spans="1:16" x14ac:dyDescent="0.25">
      <c r="A358" t="s">
        <v>15</v>
      </c>
      <c r="B358" s="1">
        <v>45992</v>
      </c>
      <c r="C358" s="1">
        <v>46022</v>
      </c>
      <c r="E358" t="s">
        <v>24</v>
      </c>
      <c r="G358">
        <v>0</v>
      </c>
      <c r="J358">
        <v>0</v>
      </c>
      <c r="K358">
        <v>0</v>
      </c>
      <c r="L358" t="s">
        <v>529</v>
      </c>
      <c r="M358" s="9" t="s">
        <v>19</v>
      </c>
      <c r="N358" s="3" t="str" cm="1">
        <f t="array" ref="N358">_xlfn.IFS(
OR(ISNUMBER(SEARCH("email",D358)),ISNUMBER(SEARCH("email",F358)),ISNUMBER(SEARCH("polish",D358)),ISNUMBER(SEARCH("rewrite",F358)),ISNUMBER(SEARCH("copy",F358))),"Writing and comms",
OR(ISNUMBER(SEARCH("research",F358)),ISNUMBER(SEARCH("intel",F358)),ISNUMBER(SEARCH("company",D358)),ISNUMBER(SEARCH("digger",D358))),"Research and intel",
OR(ISNUMBER(SEARCH("prompt",D358)),ISNUMBER(SEARCH("prompt",F358))),"Prompting help",
OR(ISNUMBER(SEARCH("role",D358)),ISNUMBER(SEARCH("scorecard",F358)),ISNUMBER(SEARCH("competenc",F358))),"Role and leadership advisory",
OR(ISNUMBER(SEARCH("meeting",F358)),ISNUMBER(SEARCH("notes",F358)),ISNUMBER(SEARCH("summary",F358))),"Meeting notes and summarization",
TRUE,"Other or fragmented"
)</f>
        <v>Other or fragmented</v>
      </c>
      <c r="O358" s="3" t="s">
        <v>20</v>
      </c>
      <c r="P358" s="3"/>
    </row>
    <row r="359" spans="1:16" x14ac:dyDescent="0.25">
      <c r="A359" t="s">
        <v>15</v>
      </c>
      <c r="B359" s="1">
        <v>45992</v>
      </c>
      <c r="C359" s="1">
        <v>46022</v>
      </c>
      <c r="E359" t="s">
        <v>24</v>
      </c>
      <c r="G359">
        <v>0</v>
      </c>
      <c r="J359">
        <v>0</v>
      </c>
      <c r="K359">
        <v>0</v>
      </c>
      <c r="L359" t="s">
        <v>530</v>
      </c>
      <c r="M359" s="10" t="s">
        <v>19</v>
      </c>
      <c r="N359" s="3" t="str" cm="1">
        <f t="array" ref="N359">_xlfn.IFS(
OR(ISNUMBER(SEARCH("email",D359)),ISNUMBER(SEARCH("email",F359)),ISNUMBER(SEARCH("polish",D359)),ISNUMBER(SEARCH("rewrite",F359)),ISNUMBER(SEARCH("copy",F359))),"Writing and comms",
OR(ISNUMBER(SEARCH("research",F359)),ISNUMBER(SEARCH("intel",F359)),ISNUMBER(SEARCH("company",D359)),ISNUMBER(SEARCH("digger",D359))),"Research and intel",
OR(ISNUMBER(SEARCH("prompt",D359)),ISNUMBER(SEARCH("prompt",F359))),"Prompting help",
OR(ISNUMBER(SEARCH("role",D359)),ISNUMBER(SEARCH("scorecard",F359)),ISNUMBER(SEARCH("competenc",F359))),"Role and leadership advisory",
OR(ISNUMBER(SEARCH("meeting",F359)),ISNUMBER(SEARCH("notes",F359)),ISNUMBER(SEARCH("summary",F359))),"Meeting notes and summarization",
TRUE,"Other or fragmented"
)</f>
        <v>Other or fragmented</v>
      </c>
      <c r="O359" s="3" t="s">
        <v>20</v>
      </c>
      <c r="P359" s="3"/>
    </row>
    <row r="360" spans="1:16" x14ac:dyDescent="0.25">
      <c r="A360" t="s">
        <v>15</v>
      </c>
      <c r="B360" s="1">
        <v>45992</v>
      </c>
      <c r="C360" s="1">
        <v>46022</v>
      </c>
      <c r="D360" t="s">
        <v>531</v>
      </c>
      <c r="E360" t="s">
        <v>17</v>
      </c>
      <c r="G360">
        <v>1</v>
      </c>
      <c r="H360" s="1">
        <v>45999</v>
      </c>
      <c r="I360" s="1">
        <v>45999</v>
      </c>
      <c r="J360">
        <v>5</v>
      </c>
      <c r="K360">
        <v>1</v>
      </c>
      <c r="L360" t="s">
        <v>532</v>
      </c>
      <c r="M360" s="9" t="s">
        <v>19</v>
      </c>
      <c r="N360" s="3" t="str" cm="1">
        <f t="array" ref="N360">_xlfn.IFS(
OR(ISNUMBER(SEARCH("email",D360)),ISNUMBER(SEARCH("email",F360)),ISNUMBER(SEARCH("polish",D360)),ISNUMBER(SEARCH("rewrite",F360)),ISNUMBER(SEARCH("copy",F360))),"Writing and comms",
OR(ISNUMBER(SEARCH("research",F360)),ISNUMBER(SEARCH("intel",F360)),ISNUMBER(SEARCH("company",D360)),ISNUMBER(SEARCH("digger",D360))),"Research and intel",
OR(ISNUMBER(SEARCH("prompt",D360)),ISNUMBER(SEARCH("prompt",F360))),"Prompting help",
OR(ISNUMBER(SEARCH("role",D360)),ISNUMBER(SEARCH("scorecard",F360)),ISNUMBER(SEARCH("competenc",F360))),"Role and leadership advisory",
OR(ISNUMBER(SEARCH("meeting",F360)),ISNUMBER(SEARCH("notes",F360)),ISNUMBER(SEARCH("summary",F360))),"Meeting notes and summarization",
TRUE,"Other or fragmented"
)</f>
        <v>Other or fragmented</v>
      </c>
      <c r="O360" s="3" t="s">
        <v>20</v>
      </c>
      <c r="P360" s="3"/>
    </row>
    <row r="361" spans="1:16" x14ac:dyDescent="0.25">
      <c r="A361" t="s">
        <v>15</v>
      </c>
      <c r="B361" s="1">
        <v>45992</v>
      </c>
      <c r="C361" s="1">
        <v>46022</v>
      </c>
      <c r="D361" t="s">
        <v>533</v>
      </c>
      <c r="E361" t="s">
        <v>17</v>
      </c>
      <c r="F361" t="s">
        <v>534</v>
      </c>
      <c r="G361">
        <v>1</v>
      </c>
      <c r="H361" s="1">
        <v>45995</v>
      </c>
      <c r="I361" s="1">
        <v>46003</v>
      </c>
      <c r="J361">
        <v>14</v>
      </c>
      <c r="K361">
        <v>1</v>
      </c>
      <c r="L361" t="s">
        <v>532</v>
      </c>
      <c r="M361" s="10" t="s">
        <v>19</v>
      </c>
      <c r="N361" s="3" t="str" cm="1">
        <f t="array" ref="N361">_xlfn.IFS(
OR(ISNUMBER(SEARCH("email",D361)),ISNUMBER(SEARCH("email",F361)),ISNUMBER(SEARCH("polish",D361)),ISNUMBER(SEARCH("rewrite",F361)),ISNUMBER(SEARCH("copy",F361))),"Writing and comms",
OR(ISNUMBER(SEARCH("research",F361)),ISNUMBER(SEARCH("intel",F361)),ISNUMBER(SEARCH("company",D361)),ISNUMBER(SEARCH("digger",D361))),"Research and intel",
OR(ISNUMBER(SEARCH("prompt",D361)),ISNUMBER(SEARCH("prompt",F361))),"Prompting help",
OR(ISNUMBER(SEARCH("role",D361)),ISNUMBER(SEARCH("scorecard",F361)),ISNUMBER(SEARCH("competenc",F361))),"Role and leadership advisory",
OR(ISNUMBER(SEARCH("meeting",F361)),ISNUMBER(SEARCH("notes",F361)),ISNUMBER(SEARCH("summary",F361))),"Meeting notes and summarization",
TRUE,"Other or fragmented"
)</f>
        <v>Meeting notes and summarization</v>
      </c>
      <c r="O361" s="3" t="s">
        <v>20</v>
      </c>
      <c r="P361" s="3"/>
    </row>
    <row r="362" spans="1:16" x14ac:dyDescent="0.25">
      <c r="A362" t="s">
        <v>15</v>
      </c>
      <c r="B362" s="1">
        <v>45992</v>
      </c>
      <c r="C362" s="1">
        <v>46022</v>
      </c>
      <c r="D362" t="s">
        <v>535</v>
      </c>
      <c r="E362" t="s">
        <v>17</v>
      </c>
      <c r="F362" t="s">
        <v>536</v>
      </c>
      <c r="G362">
        <v>1</v>
      </c>
      <c r="H362" s="1">
        <v>45994</v>
      </c>
      <c r="I362" s="1">
        <v>46014</v>
      </c>
      <c r="J362">
        <v>87</v>
      </c>
      <c r="K362">
        <v>1</v>
      </c>
      <c r="L362" t="s">
        <v>532</v>
      </c>
      <c r="M362" s="9" t="s">
        <v>19</v>
      </c>
      <c r="N362" s="3" t="str" cm="1">
        <f t="array" ref="N362">_xlfn.IFS(
OR(ISNUMBER(SEARCH("email",D362)),ISNUMBER(SEARCH("email",F362)),ISNUMBER(SEARCH("polish",D362)),ISNUMBER(SEARCH("rewrite",F362)),ISNUMBER(SEARCH("copy",F362))),"Writing and comms",
OR(ISNUMBER(SEARCH("research",F362)),ISNUMBER(SEARCH("intel",F362)),ISNUMBER(SEARCH("company",D362)),ISNUMBER(SEARCH("digger",D362))),"Research and intel",
OR(ISNUMBER(SEARCH("prompt",D362)),ISNUMBER(SEARCH("prompt",F362))),"Prompting help",
OR(ISNUMBER(SEARCH("role",D362)),ISNUMBER(SEARCH("scorecard",F362)),ISNUMBER(SEARCH("competenc",F362))),"Role and leadership advisory",
OR(ISNUMBER(SEARCH("meeting",F362)),ISNUMBER(SEARCH("notes",F362)),ISNUMBER(SEARCH("summary",F362))),"Meeting notes and summarization",
TRUE,"Other or fragmented"
)</f>
        <v>Other or fragmented</v>
      </c>
      <c r="O362" s="3" t="s">
        <v>20</v>
      </c>
      <c r="P362" s="3"/>
    </row>
    <row r="363" spans="1:16" x14ac:dyDescent="0.25">
      <c r="A363" t="s">
        <v>15</v>
      </c>
      <c r="B363" s="1">
        <v>45992</v>
      </c>
      <c r="C363" s="1">
        <v>46022</v>
      </c>
      <c r="E363" t="s">
        <v>24</v>
      </c>
      <c r="G363">
        <v>0</v>
      </c>
      <c r="J363">
        <v>0</v>
      </c>
      <c r="K363">
        <v>0</v>
      </c>
      <c r="L363" t="s">
        <v>537</v>
      </c>
      <c r="M363" s="10" t="s">
        <v>19</v>
      </c>
      <c r="N363" s="3" t="str" cm="1">
        <f t="array" ref="N363">_xlfn.IFS(
OR(ISNUMBER(SEARCH("email",D363)),ISNUMBER(SEARCH("email",F363)),ISNUMBER(SEARCH("polish",D363)),ISNUMBER(SEARCH("rewrite",F363)),ISNUMBER(SEARCH("copy",F363))),"Writing and comms",
OR(ISNUMBER(SEARCH("research",F363)),ISNUMBER(SEARCH("intel",F363)),ISNUMBER(SEARCH("company",D363)),ISNUMBER(SEARCH("digger",D363))),"Research and intel",
OR(ISNUMBER(SEARCH("prompt",D363)),ISNUMBER(SEARCH("prompt",F363))),"Prompting help",
OR(ISNUMBER(SEARCH("role",D363)),ISNUMBER(SEARCH("scorecard",F363)),ISNUMBER(SEARCH("competenc",F363))),"Role and leadership advisory",
OR(ISNUMBER(SEARCH("meeting",F363)),ISNUMBER(SEARCH("notes",F363)),ISNUMBER(SEARCH("summary",F363))),"Meeting notes and summarization",
TRUE,"Other or fragmented"
)</f>
        <v>Other or fragmented</v>
      </c>
      <c r="O363" s="3" t="s">
        <v>20</v>
      </c>
      <c r="P363" s="3"/>
    </row>
    <row r="364" spans="1:16" x14ac:dyDescent="0.25">
      <c r="A364" t="s">
        <v>15</v>
      </c>
      <c r="B364" s="1">
        <v>45992</v>
      </c>
      <c r="C364" s="1">
        <v>46022</v>
      </c>
      <c r="E364" t="s">
        <v>24</v>
      </c>
      <c r="G364">
        <v>0</v>
      </c>
      <c r="J364">
        <v>0</v>
      </c>
      <c r="K364">
        <v>0</v>
      </c>
      <c r="L364" t="s">
        <v>538</v>
      </c>
      <c r="M364" s="9" t="s">
        <v>19</v>
      </c>
      <c r="N364" s="3" t="str" cm="1">
        <f t="array" ref="N364">_xlfn.IFS(
OR(ISNUMBER(SEARCH("email",D364)),ISNUMBER(SEARCH("email",F364)),ISNUMBER(SEARCH("polish",D364)),ISNUMBER(SEARCH("rewrite",F364)),ISNUMBER(SEARCH("copy",F364))),"Writing and comms",
OR(ISNUMBER(SEARCH("research",F364)),ISNUMBER(SEARCH("intel",F364)),ISNUMBER(SEARCH("company",D364)),ISNUMBER(SEARCH("digger",D364))),"Research and intel",
OR(ISNUMBER(SEARCH("prompt",D364)),ISNUMBER(SEARCH("prompt",F364))),"Prompting help",
OR(ISNUMBER(SEARCH("role",D364)),ISNUMBER(SEARCH("scorecard",F364)),ISNUMBER(SEARCH("competenc",F364))),"Role and leadership advisory",
OR(ISNUMBER(SEARCH("meeting",F364)),ISNUMBER(SEARCH("notes",F364)),ISNUMBER(SEARCH("summary",F364))),"Meeting notes and summarization",
TRUE,"Other or fragmented"
)</f>
        <v>Other or fragmented</v>
      </c>
      <c r="O364" s="3" t="s">
        <v>20</v>
      </c>
      <c r="P364" s="3"/>
    </row>
    <row r="365" spans="1:16" x14ac:dyDescent="0.25">
      <c r="A365" t="s">
        <v>15</v>
      </c>
      <c r="B365" s="1">
        <v>45992</v>
      </c>
      <c r="C365" s="1">
        <v>46022</v>
      </c>
      <c r="D365" t="s">
        <v>539</v>
      </c>
      <c r="E365" t="s">
        <v>17</v>
      </c>
      <c r="F365" t="s">
        <v>540</v>
      </c>
      <c r="G365">
        <v>1</v>
      </c>
      <c r="H365" s="1">
        <v>45992</v>
      </c>
      <c r="I365" s="1">
        <v>46014</v>
      </c>
      <c r="J365">
        <v>302</v>
      </c>
      <c r="K365">
        <v>6</v>
      </c>
      <c r="L365" t="s">
        <v>541</v>
      </c>
      <c r="M365" s="10" t="s">
        <v>19</v>
      </c>
      <c r="N365" s="3" t="str" cm="1">
        <f t="array" ref="N365">_xlfn.IFS(
OR(ISNUMBER(SEARCH("email",D365)),ISNUMBER(SEARCH("email",F365)),ISNUMBER(SEARCH("polish",D365)),ISNUMBER(SEARCH("rewrite",F365)),ISNUMBER(SEARCH("copy",F365))),"Writing and comms",
OR(ISNUMBER(SEARCH("research",F365)),ISNUMBER(SEARCH("intel",F365)),ISNUMBER(SEARCH("company",D365)),ISNUMBER(SEARCH("digger",D365))),"Research and intel",
OR(ISNUMBER(SEARCH("prompt",D365)),ISNUMBER(SEARCH("prompt",F365))),"Prompting help",
OR(ISNUMBER(SEARCH("role",D365)),ISNUMBER(SEARCH("scorecard",F365)),ISNUMBER(SEARCH("competenc",F365))),"Role and leadership advisory",
OR(ISNUMBER(SEARCH("meeting",F365)),ISNUMBER(SEARCH("notes",F365)),ISNUMBER(SEARCH("summary",F365))),"Meeting notes and summarization",
TRUE,"Other or fragmented"
)</f>
        <v>Role and leadership advisory</v>
      </c>
      <c r="O365" s="3" t="s">
        <v>20</v>
      </c>
      <c r="P365" s="3"/>
    </row>
    <row r="366" spans="1:16" x14ac:dyDescent="0.25">
      <c r="A366" t="s">
        <v>15</v>
      </c>
      <c r="B366" s="1">
        <v>45992</v>
      </c>
      <c r="C366" s="1">
        <v>46022</v>
      </c>
      <c r="D366" t="s">
        <v>542</v>
      </c>
      <c r="E366" t="s">
        <v>17</v>
      </c>
      <c r="F366" t="s">
        <v>543</v>
      </c>
      <c r="G366">
        <v>1</v>
      </c>
      <c r="H366" s="1">
        <v>45992</v>
      </c>
      <c r="I366" s="1">
        <v>46014</v>
      </c>
      <c r="J366">
        <v>214</v>
      </c>
      <c r="K366">
        <v>2</v>
      </c>
      <c r="L366" t="s">
        <v>541</v>
      </c>
      <c r="M366" s="9" t="s">
        <v>19</v>
      </c>
      <c r="N366" s="3" t="str" cm="1">
        <f t="array" ref="N366">_xlfn.IFS(
OR(ISNUMBER(SEARCH("email",D366)),ISNUMBER(SEARCH("email",F366)),ISNUMBER(SEARCH("polish",D366)),ISNUMBER(SEARCH("rewrite",F366)),ISNUMBER(SEARCH("copy",F366))),"Writing and comms",
OR(ISNUMBER(SEARCH("research",F366)),ISNUMBER(SEARCH("intel",F366)),ISNUMBER(SEARCH("company",D366)),ISNUMBER(SEARCH("digger",D366))),"Research and intel",
OR(ISNUMBER(SEARCH("prompt",D366)),ISNUMBER(SEARCH("prompt",F366))),"Prompting help",
OR(ISNUMBER(SEARCH("role",D366)),ISNUMBER(SEARCH("scorecard",F366)),ISNUMBER(SEARCH("competenc",F366))),"Role and leadership advisory",
OR(ISNUMBER(SEARCH("meeting",F366)),ISNUMBER(SEARCH("notes",F366)),ISNUMBER(SEARCH("summary",F366))),"Meeting notes and summarization",
TRUE,"Other or fragmented"
)</f>
        <v>Role and leadership advisory</v>
      </c>
      <c r="O366" s="3" t="s">
        <v>20</v>
      </c>
      <c r="P366" s="3"/>
    </row>
    <row r="367" spans="1:16" x14ac:dyDescent="0.25">
      <c r="A367" t="s">
        <v>15</v>
      </c>
      <c r="B367" s="1">
        <v>45992</v>
      </c>
      <c r="C367" s="1">
        <v>46022</v>
      </c>
      <c r="D367" t="s">
        <v>544</v>
      </c>
      <c r="E367" t="s">
        <v>17</v>
      </c>
      <c r="F367" t="s">
        <v>545</v>
      </c>
      <c r="G367">
        <v>1</v>
      </c>
      <c r="H367" s="1">
        <v>46000</v>
      </c>
      <c r="I367" s="1">
        <v>46004</v>
      </c>
      <c r="J367">
        <v>12</v>
      </c>
      <c r="K367">
        <v>1</v>
      </c>
      <c r="L367" t="s">
        <v>541</v>
      </c>
      <c r="M367" s="10" t="s">
        <v>12</v>
      </c>
      <c r="N367" s="3" t="str" cm="1">
        <f t="array" ref="N367">_xlfn.IFS(
OR(ISNUMBER(SEARCH("email",D367)),ISNUMBER(SEARCH("email",F367)),ISNUMBER(SEARCH("polish",D367)),ISNUMBER(SEARCH("rewrite",F367)),ISNUMBER(SEARCH("copy",F367))),"Writing and comms",
OR(ISNUMBER(SEARCH("research",F367)),ISNUMBER(SEARCH("intel",F367)),ISNUMBER(SEARCH("company",D367)),ISNUMBER(SEARCH("digger",D367))),"Research and intel",
OR(ISNUMBER(SEARCH("prompt",D367)),ISNUMBER(SEARCH("prompt",F367))),"Prompting help",
OR(ISNUMBER(SEARCH("role",D367)),ISNUMBER(SEARCH("scorecard",F367)),ISNUMBER(SEARCH("competenc",F367))),"Role and leadership advisory",
OR(ISNUMBER(SEARCH("meeting",F367)),ISNUMBER(SEARCH("notes",F367)),ISNUMBER(SEARCH("summary",F367))),"Meeting notes and summarization",
TRUE,"Other or fragmented"
)</f>
        <v>Other or fragmented</v>
      </c>
      <c r="O367" s="3" t="s">
        <v>20</v>
      </c>
      <c r="P367" s="3"/>
    </row>
    <row r="368" spans="1:16" x14ac:dyDescent="0.25">
      <c r="A368" t="s">
        <v>15</v>
      </c>
      <c r="B368" s="1">
        <v>45992</v>
      </c>
      <c r="C368" s="1">
        <v>46022</v>
      </c>
      <c r="D368" t="s">
        <v>546</v>
      </c>
      <c r="E368" t="s">
        <v>17</v>
      </c>
      <c r="F368" t="s">
        <v>547</v>
      </c>
      <c r="G368">
        <v>0</v>
      </c>
      <c r="J368">
        <v>0</v>
      </c>
      <c r="K368">
        <v>0</v>
      </c>
      <c r="L368" t="s">
        <v>541</v>
      </c>
      <c r="M368" s="9" t="s">
        <v>12</v>
      </c>
      <c r="N368" s="3" t="str" cm="1">
        <f t="array" ref="N368">_xlfn.IFS(
OR(ISNUMBER(SEARCH("email",D368)),ISNUMBER(SEARCH("email",F368)),ISNUMBER(SEARCH("polish",D368)),ISNUMBER(SEARCH("rewrite",F368)),ISNUMBER(SEARCH("copy",F368))),"Writing and comms",
OR(ISNUMBER(SEARCH("research",F368)),ISNUMBER(SEARCH("intel",F368)),ISNUMBER(SEARCH("company",D368)),ISNUMBER(SEARCH("digger",D368))),"Research and intel",
OR(ISNUMBER(SEARCH("prompt",D368)),ISNUMBER(SEARCH("prompt",F368))),"Prompting help",
OR(ISNUMBER(SEARCH("role",D368)),ISNUMBER(SEARCH("scorecard",F368)),ISNUMBER(SEARCH("competenc",F368))),"Role and leadership advisory",
OR(ISNUMBER(SEARCH("meeting",F368)),ISNUMBER(SEARCH("notes",F368)),ISNUMBER(SEARCH("summary",F368))),"Meeting notes and summarization",
TRUE,"Other or fragmented"
)</f>
        <v>Other or fragmented</v>
      </c>
      <c r="O368" s="3" t="s">
        <v>20</v>
      </c>
      <c r="P368" s="3"/>
    </row>
    <row r="369" spans="1:16" x14ac:dyDescent="0.25">
      <c r="A369" t="s">
        <v>15</v>
      </c>
      <c r="B369" s="1">
        <v>45992</v>
      </c>
      <c r="C369" s="1">
        <v>46022</v>
      </c>
      <c r="E369" t="s">
        <v>24</v>
      </c>
      <c r="G369">
        <v>0</v>
      </c>
      <c r="J369">
        <v>0</v>
      </c>
      <c r="K369">
        <v>0</v>
      </c>
      <c r="L369" t="s">
        <v>548</v>
      </c>
      <c r="M369" s="10" t="s">
        <v>19</v>
      </c>
      <c r="N369" s="3" t="str" cm="1">
        <f t="array" ref="N369">_xlfn.IFS(
OR(ISNUMBER(SEARCH("email",D369)),ISNUMBER(SEARCH("email",F369)),ISNUMBER(SEARCH("polish",D369)),ISNUMBER(SEARCH("rewrite",F369)),ISNUMBER(SEARCH("copy",F369))),"Writing and comms",
OR(ISNUMBER(SEARCH("research",F369)),ISNUMBER(SEARCH("intel",F369)),ISNUMBER(SEARCH("company",D369)),ISNUMBER(SEARCH("digger",D369))),"Research and intel",
OR(ISNUMBER(SEARCH("prompt",D369)),ISNUMBER(SEARCH("prompt",F369))),"Prompting help",
OR(ISNUMBER(SEARCH("role",D369)),ISNUMBER(SEARCH("scorecard",F369)),ISNUMBER(SEARCH("competenc",F369))),"Role and leadership advisory",
OR(ISNUMBER(SEARCH("meeting",F369)),ISNUMBER(SEARCH("notes",F369)),ISNUMBER(SEARCH("summary",F369))),"Meeting notes and summarization",
TRUE,"Other or fragmented"
)</f>
        <v>Other or fragmented</v>
      </c>
      <c r="O369" s="3" t="s">
        <v>20</v>
      </c>
      <c r="P369" s="3"/>
    </row>
    <row r="370" spans="1:16" x14ac:dyDescent="0.25">
      <c r="A370" t="s">
        <v>15</v>
      </c>
      <c r="B370" s="1">
        <v>45992</v>
      </c>
      <c r="C370" s="1">
        <v>46022</v>
      </c>
      <c r="D370" t="s">
        <v>549</v>
      </c>
      <c r="E370" t="s">
        <v>24</v>
      </c>
      <c r="F370" t="s">
        <v>550</v>
      </c>
      <c r="G370">
        <v>1</v>
      </c>
      <c r="H370" s="1">
        <v>46008</v>
      </c>
      <c r="I370" s="1">
        <v>46008</v>
      </c>
      <c r="J370">
        <v>4</v>
      </c>
      <c r="K370">
        <v>1</v>
      </c>
      <c r="L370" t="s">
        <v>551</v>
      </c>
      <c r="M370" s="9" t="s">
        <v>19</v>
      </c>
      <c r="N370" s="3" t="str" cm="1">
        <f t="array" ref="N370">_xlfn.IFS(
OR(ISNUMBER(SEARCH("email",D370)),ISNUMBER(SEARCH("email",F370)),ISNUMBER(SEARCH("polish",D370)),ISNUMBER(SEARCH("rewrite",F370)),ISNUMBER(SEARCH("copy",F370))),"Writing and comms",
OR(ISNUMBER(SEARCH("research",F370)),ISNUMBER(SEARCH("intel",F370)),ISNUMBER(SEARCH("company",D370)),ISNUMBER(SEARCH("digger",D370))),"Research and intel",
OR(ISNUMBER(SEARCH("prompt",D370)),ISNUMBER(SEARCH("prompt",F370))),"Prompting help",
OR(ISNUMBER(SEARCH("role",D370)),ISNUMBER(SEARCH("scorecard",F370)),ISNUMBER(SEARCH("competenc",F370))),"Role and leadership advisory",
OR(ISNUMBER(SEARCH("meeting",F370)),ISNUMBER(SEARCH("notes",F370)),ISNUMBER(SEARCH("summary",F370))),"Meeting notes and summarization",
TRUE,"Other or fragmented"
)</f>
        <v>Other or fragmented</v>
      </c>
      <c r="O370" s="3" t="s">
        <v>20</v>
      </c>
      <c r="P370" s="3"/>
    </row>
    <row r="371" spans="1:16" x14ac:dyDescent="0.25">
      <c r="A371" t="s">
        <v>15</v>
      </c>
      <c r="B371" s="1">
        <v>45992</v>
      </c>
      <c r="C371" s="1">
        <v>46022</v>
      </c>
      <c r="D371" t="s">
        <v>552</v>
      </c>
      <c r="E371" t="s">
        <v>24</v>
      </c>
      <c r="F371" t="s">
        <v>553</v>
      </c>
      <c r="G371">
        <v>0</v>
      </c>
      <c r="J371">
        <v>0</v>
      </c>
      <c r="K371">
        <v>0</v>
      </c>
      <c r="L371" t="s">
        <v>554</v>
      </c>
      <c r="M371" s="10" t="s">
        <v>19</v>
      </c>
      <c r="N371" s="3" t="str" cm="1">
        <f t="array" ref="N371">_xlfn.IFS(
OR(ISNUMBER(SEARCH("email",D371)),ISNUMBER(SEARCH("email",F371)),ISNUMBER(SEARCH("polish",D371)),ISNUMBER(SEARCH("rewrite",F371)),ISNUMBER(SEARCH("copy",F371))),"Writing and comms",
OR(ISNUMBER(SEARCH("research",F371)),ISNUMBER(SEARCH("intel",F371)),ISNUMBER(SEARCH("company",D371)),ISNUMBER(SEARCH("digger",D371))),"Research and intel",
OR(ISNUMBER(SEARCH("prompt",D371)),ISNUMBER(SEARCH("prompt",F371))),"Prompting help",
OR(ISNUMBER(SEARCH("role",D371)),ISNUMBER(SEARCH("scorecard",F371)),ISNUMBER(SEARCH("competenc",F371))),"Role and leadership advisory",
OR(ISNUMBER(SEARCH("meeting",F371)),ISNUMBER(SEARCH("notes",F371)),ISNUMBER(SEARCH("summary",F371))),"Meeting notes and summarization",
TRUE,"Other or fragmented"
)</f>
        <v>Other or fragmented</v>
      </c>
      <c r="O371" s="3" t="s">
        <v>20</v>
      </c>
      <c r="P371" s="3"/>
    </row>
    <row r="372" spans="1:16" x14ac:dyDescent="0.25">
      <c r="A372" t="s">
        <v>15</v>
      </c>
      <c r="B372" s="1">
        <v>45992</v>
      </c>
      <c r="C372" s="1">
        <v>46022</v>
      </c>
      <c r="D372" t="s">
        <v>555</v>
      </c>
      <c r="E372" t="s">
        <v>24</v>
      </c>
      <c r="G372">
        <v>0</v>
      </c>
      <c r="J372">
        <v>0</v>
      </c>
      <c r="K372">
        <v>0</v>
      </c>
      <c r="L372" t="s">
        <v>556</v>
      </c>
      <c r="M372" s="9" t="s">
        <v>19</v>
      </c>
      <c r="N372" s="3" t="str" cm="1">
        <f t="array" ref="N372">_xlfn.IFS(
OR(ISNUMBER(SEARCH("email",D372)),ISNUMBER(SEARCH("email",F372)),ISNUMBER(SEARCH("polish",D372)),ISNUMBER(SEARCH("rewrite",F372)),ISNUMBER(SEARCH("copy",F372))),"Writing and comms",
OR(ISNUMBER(SEARCH("research",F372)),ISNUMBER(SEARCH("intel",F372)),ISNUMBER(SEARCH("company",D372)),ISNUMBER(SEARCH("digger",D372))),"Research and intel",
OR(ISNUMBER(SEARCH("prompt",D372)),ISNUMBER(SEARCH("prompt",F372))),"Prompting help",
OR(ISNUMBER(SEARCH("role",D372)),ISNUMBER(SEARCH("scorecard",F372)),ISNUMBER(SEARCH("competenc",F372))),"Role and leadership advisory",
OR(ISNUMBER(SEARCH("meeting",F372)),ISNUMBER(SEARCH("notes",F372)),ISNUMBER(SEARCH("summary",F372))),"Meeting notes and summarization",
TRUE,"Other or fragmented"
)</f>
        <v>Other or fragmented</v>
      </c>
      <c r="O372" s="3" t="s">
        <v>20</v>
      </c>
      <c r="P372" s="3"/>
    </row>
    <row r="373" spans="1:16" x14ac:dyDescent="0.25">
      <c r="A373" t="s">
        <v>15</v>
      </c>
      <c r="B373" s="1">
        <v>45992</v>
      </c>
      <c r="C373" s="1">
        <v>46022</v>
      </c>
      <c r="D373" t="s">
        <v>555</v>
      </c>
      <c r="E373" t="s">
        <v>24</v>
      </c>
      <c r="G373">
        <v>0</v>
      </c>
      <c r="J373">
        <v>0</v>
      </c>
      <c r="K373">
        <v>0</v>
      </c>
      <c r="L373" t="s">
        <v>556</v>
      </c>
      <c r="M373" s="10" t="s">
        <v>19</v>
      </c>
      <c r="N373" s="3" t="str" cm="1">
        <f t="array" ref="N373">_xlfn.IFS(
OR(ISNUMBER(SEARCH("email",D373)),ISNUMBER(SEARCH("email",F373)),ISNUMBER(SEARCH("polish",D373)),ISNUMBER(SEARCH("rewrite",F373)),ISNUMBER(SEARCH("copy",F373))),"Writing and comms",
OR(ISNUMBER(SEARCH("research",F373)),ISNUMBER(SEARCH("intel",F373)),ISNUMBER(SEARCH("company",D373)),ISNUMBER(SEARCH("digger",D373))),"Research and intel",
OR(ISNUMBER(SEARCH("prompt",D373)),ISNUMBER(SEARCH("prompt",F373))),"Prompting help",
OR(ISNUMBER(SEARCH("role",D373)),ISNUMBER(SEARCH("scorecard",F373)),ISNUMBER(SEARCH("competenc",F373))),"Role and leadership advisory",
OR(ISNUMBER(SEARCH("meeting",F373)),ISNUMBER(SEARCH("notes",F373)),ISNUMBER(SEARCH("summary",F373))),"Meeting notes and summarization",
TRUE,"Other or fragmented"
)</f>
        <v>Other or fragmented</v>
      </c>
      <c r="O373" s="3" t="s">
        <v>20</v>
      </c>
      <c r="P373" s="3"/>
    </row>
    <row r="374" spans="1:16" x14ac:dyDescent="0.25">
      <c r="A374" t="s">
        <v>15</v>
      </c>
      <c r="B374" s="1">
        <v>45992</v>
      </c>
      <c r="C374" s="1">
        <v>46022</v>
      </c>
      <c r="D374" t="s">
        <v>555</v>
      </c>
      <c r="E374" t="s">
        <v>24</v>
      </c>
      <c r="G374">
        <v>0</v>
      </c>
      <c r="J374">
        <v>0</v>
      </c>
      <c r="K374">
        <v>0</v>
      </c>
      <c r="L374" t="s">
        <v>556</v>
      </c>
      <c r="M374" s="9" t="s">
        <v>19</v>
      </c>
      <c r="N374" s="3" t="str" cm="1">
        <f t="array" ref="N374">_xlfn.IFS(
OR(ISNUMBER(SEARCH("email",D374)),ISNUMBER(SEARCH("email",F374)),ISNUMBER(SEARCH("polish",D374)),ISNUMBER(SEARCH("rewrite",F374)),ISNUMBER(SEARCH("copy",F374))),"Writing and comms",
OR(ISNUMBER(SEARCH("research",F374)),ISNUMBER(SEARCH("intel",F374)),ISNUMBER(SEARCH("company",D374)),ISNUMBER(SEARCH("digger",D374))),"Research and intel",
OR(ISNUMBER(SEARCH("prompt",D374)),ISNUMBER(SEARCH("prompt",F374))),"Prompting help",
OR(ISNUMBER(SEARCH("role",D374)),ISNUMBER(SEARCH("scorecard",F374)),ISNUMBER(SEARCH("competenc",F374))),"Role and leadership advisory",
OR(ISNUMBER(SEARCH("meeting",F374)),ISNUMBER(SEARCH("notes",F374)),ISNUMBER(SEARCH("summary",F374))),"Meeting notes and summarization",
TRUE,"Other or fragmented"
)</f>
        <v>Other or fragmented</v>
      </c>
      <c r="O374" s="3" t="s">
        <v>20</v>
      </c>
      <c r="P374" s="3"/>
    </row>
    <row r="375" spans="1:16" x14ac:dyDescent="0.25">
      <c r="A375" t="s">
        <v>15</v>
      </c>
      <c r="B375" s="1">
        <v>45992</v>
      </c>
      <c r="C375" s="1">
        <v>46022</v>
      </c>
      <c r="E375" t="s">
        <v>24</v>
      </c>
      <c r="G375">
        <v>0</v>
      </c>
      <c r="J375">
        <v>0</v>
      </c>
      <c r="K375">
        <v>0</v>
      </c>
      <c r="L375" t="s">
        <v>556</v>
      </c>
      <c r="M375" s="10" t="s">
        <v>19</v>
      </c>
      <c r="N375" s="3" t="str" cm="1">
        <f t="array" ref="N375">_xlfn.IFS(
OR(ISNUMBER(SEARCH("email",D375)),ISNUMBER(SEARCH("email",F375)),ISNUMBER(SEARCH("polish",D375)),ISNUMBER(SEARCH("rewrite",F375)),ISNUMBER(SEARCH("copy",F375))),"Writing and comms",
OR(ISNUMBER(SEARCH("research",F375)),ISNUMBER(SEARCH("intel",F375)),ISNUMBER(SEARCH("company",D375)),ISNUMBER(SEARCH("digger",D375))),"Research and intel",
OR(ISNUMBER(SEARCH("prompt",D375)),ISNUMBER(SEARCH("prompt",F375))),"Prompting help",
OR(ISNUMBER(SEARCH("role",D375)),ISNUMBER(SEARCH("scorecard",F375)),ISNUMBER(SEARCH("competenc",F375))),"Role and leadership advisory",
OR(ISNUMBER(SEARCH("meeting",F375)),ISNUMBER(SEARCH("notes",F375)),ISNUMBER(SEARCH("summary",F375))),"Meeting notes and summarization",
TRUE,"Other or fragmented"
)</f>
        <v>Other or fragmented</v>
      </c>
      <c r="O375" s="3" t="s">
        <v>20</v>
      </c>
      <c r="P375" s="3"/>
    </row>
    <row r="376" spans="1:16" x14ac:dyDescent="0.25">
      <c r="A376" t="s">
        <v>15</v>
      </c>
      <c r="B376" s="1">
        <v>45992</v>
      </c>
      <c r="C376" s="1">
        <v>46022</v>
      </c>
      <c r="E376" t="s">
        <v>24</v>
      </c>
      <c r="G376">
        <v>0</v>
      </c>
      <c r="J376">
        <v>0</v>
      </c>
      <c r="K376">
        <v>0</v>
      </c>
      <c r="L376" t="s">
        <v>557</v>
      </c>
      <c r="M376" s="9" t="s">
        <v>19</v>
      </c>
      <c r="N376" s="3" t="str" cm="1">
        <f t="array" ref="N376">_xlfn.IFS(
OR(ISNUMBER(SEARCH("email",D376)),ISNUMBER(SEARCH("email",F376)),ISNUMBER(SEARCH("polish",D376)),ISNUMBER(SEARCH("rewrite",F376)),ISNUMBER(SEARCH("copy",F376))),"Writing and comms",
OR(ISNUMBER(SEARCH("research",F376)),ISNUMBER(SEARCH("intel",F376)),ISNUMBER(SEARCH("company",D376)),ISNUMBER(SEARCH("digger",D376))),"Research and intel",
OR(ISNUMBER(SEARCH("prompt",D376)),ISNUMBER(SEARCH("prompt",F376))),"Prompting help",
OR(ISNUMBER(SEARCH("role",D376)),ISNUMBER(SEARCH("scorecard",F376)),ISNUMBER(SEARCH("competenc",F376))),"Role and leadership advisory",
OR(ISNUMBER(SEARCH("meeting",F376)),ISNUMBER(SEARCH("notes",F376)),ISNUMBER(SEARCH("summary",F376))),"Meeting notes and summarization",
TRUE,"Other or fragmented"
)</f>
        <v>Other or fragmented</v>
      </c>
      <c r="O376" s="3" t="s">
        <v>20</v>
      </c>
      <c r="P376" s="3"/>
    </row>
    <row r="377" spans="1:16" x14ac:dyDescent="0.25">
      <c r="A377" t="s">
        <v>15</v>
      </c>
      <c r="B377" s="1">
        <v>45992</v>
      </c>
      <c r="C377" s="1">
        <v>46022</v>
      </c>
      <c r="D377" t="s">
        <v>558</v>
      </c>
      <c r="E377" t="s">
        <v>24</v>
      </c>
      <c r="G377">
        <v>0</v>
      </c>
      <c r="J377">
        <v>0</v>
      </c>
      <c r="K377">
        <v>0</v>
      </c>
      <c r="L377" t="s">
        <v>559</v>
      </c>
      <c r="M377" s="10" t="s">
        <v>19</v>
      </c>
      <c r="N377" s="3" t="str" cm="1">
        <f t="array" ref="N377">_xlfn.IFS(
OR(ISNUMBER(SEARCH("email",D377)),ISNUMBER(SEARCH("email",F377)),ISNUMBER(SEARCH("polish",D377)),ISNUMBER(SEARCH("rewrite",F377)),ISNUMBER(SEARCH("copy",F377))),"Writing and comms",
OR(ISNUMBER(SEARCH("research",F377)),ISNUMBER(SEARCH("intel",F377)),ISNUMBER(SEARCH("company",D377)),ISNUMBER(SEARCH("digger",D377))),"Research and intel",
OR(ISNUMBER(SEARCH("prompt",D377)),ISNUMBER(SEARCH("prompt",F377))),"Prompting help",
OR(ISNUMBER(SEARCH("role",D377)),ISNUMBER(SEARCH("scorecard",F377)),ISNUMBER(SEARCH("competenc",F377))),"Role and leadership advisory",
OR(ISNUMBER(SEARCH("meeting",F377)),ISNUMBER(SEARCH("notes",F377)),ISNUMBER(SEARCH("summary",F377))),"Meeting notes and summarization",
TRUE,"Other or fragmented"
)</f>
        <v>Other or fragmented</v>
      </c>
      <c r="O377" s="3" t="s">
        <v>20</v>
      </c>
      <c r="P377" s="3"/>
    </row>
    <row r="378" spans="1:16" x14ac:dyDescent="0.25">
      <c r="A378" t="s">
        <v>15</v>
      </c>
      <c r="B378" s="1">
        <v>45992</v>
      </c>
      <c r="C378" s="1">
        <v>46022</v>
      </c>
      <c r="E378" t="s">
        <v>24</v>
      </c>
      <c r="G378">
        <v>0</v>
      </c>
      <c r="J378">
        <v>0</v>
      </c>
      <c r="K378">
        <v>0</v>
      </c>
      <c r="L378" t="s">
        <v>560</v>
      </c>
      <c r="M378" s="9" t="s">
        <v>19</v>
      </c>
      <c r="N378" s="3" t="str" cm="1">
        <f t="array" ref="N378">_xlfn.IFS(
OR(ISNUMBER(SEARCH("email",D378)),ISNUMBER(SEARCH("email",F378)),ISNUMBER(SEARCH("polish",D378)),ISNUMBER(SEARCH("rewrite",F378)),ISNUMBER(SEARCH("copy",F378))),"Writing and comms",
OR(ISNUMBER(SEARCH("research",F378)),ISNUMBER(SEARCH("intel",F378)),ISNUMBER(SEARCH("company",D378)),ISNUMBER(SEARCH("digger",D378))),"Research and intel",
OR(ISNUMBER(SEARCH("prompt",D378)),ISNUMBER(SEARCH("prompt",F378))),"Prompting help",
OR(ISNUMBER(SEARCH("role",D378)),ISNUMBER(SEARCH("scorecard",F378)),ISNUMBER(SEARCH("competenc",F378))),"Role and leadership advisory",
OR(ISNUMBER(SEARCH("meeting",F378)),ISNUMBER(SEARCH("notes",F378)),ISNUMBER(SEARCH("summary",F378))),"Meeting notes and summarization",
TRUE,"Other or fragmented"
)</f>
        <v>Other or fragmented</v>
      </c>
      <c r="O378" s="3" t="s">
        <v>20</v>
      </c>
      <c r="P378" s="3"/>
    </row>
    <row r="379" spans="1:16" x14ac:dyDescent="0.25">
      <c r="A379" t="s">
        <v>15</v>
      </c>
      <c r="B379" s="1">
        <v>45992</v>
      </c>
      <c r="C379" s="1">
        <v>46022</v>
      </c>
      <c r="D379" t="s">
        <v>561</v>
      </c>
      <c r="E379" t="s">
        <v>24</v>
      </c>
      <c r="F379" t="s">
        <v>562</v>
      </c>
      <c r="G379">
        <v>1</v>
      </c>
      <c r="H379" s="1">
        <v>45995</v>
      </c>
      <c r="I379" s="1">
        <v>45995</v>
      </c>
      <c r="J379">
        <v>37</v>
      </c>
      <c r="K379">
        <v>1</v>
      </c>
      <c r="L379" t="s">
        <v>563</v>
      </c>
      <c r="M379" s="10" t="s">
        <v>19</v>
      </c>
      <c r="N379" s="3" t="str" cm="1">
        <f t="array" ref="N379">_xlfn.IFS(
OR(ISNUMBER(SEARCH("email",D379)),ISNUMBER(SEARCH("email",F379)),ISNUMBER(SEARCH("polish",D379)),ISNUMBER(SEARCH("rewrite",F379)),ISNUMBER(SEARCH("copy",F379))),"Writing and comms",
OR(ISNUMBER(SEARCH("research",F379)),ISNUMBER(SEARCH("intel",F379)),ISNUMBER(SEARCH("company",D379)),ISNUMBER(SEARCH("digger",D379))),"Research and intel",
OR(ISNUMBER(SEARCH("prompt",D379)),ISNUMBER(SEARCH("prompt",F379))),"Prompting help",
OR(ISNUMBER(SEARCH("role",D379)),ISNUMBER(SEARCH("scorecard",F379)),ISNUMBER(SEARCH("competenc",F379))),"Role and leadership advisory",
OR(ISNUMBER(SEARCH("meeting",F379)),ISNUMBER(SEARCH("notes",F379)),ISNUMBER(SEARCH("summary",F379))),"Meeting notes and summarization",
TRUE,"Other or fragmented"
)</f>
        <v>Other or fragmented</v>
      </c>
      <c r="O379" s="3" t="s">
        <v>20</v>
      </c>
      <c r="P379" s="3"/>
    </row>
    <row r="380" spans="1:16" x14ac:dyDescent="0.25">
      <c r="A380" t="s">
        <v>15</v>
      </c>
      <c r="B380" s="1">
        <v>45992</v>
      </c>
      <c r="C380" s="1">
        <v>46022</v>
      </c>
      <c r="D380" t="s">
        <v>564</v>
      </c>
      <c r="E380" t="s">
        <v>24</v>
      </c>
      <c r="F380" t="s">
        <v>565</v>
      </c>
      <c r="G380">
        <v>0</v>
      </c>
      <c r="J380">
        <v>0</v>
      </c>
      <c r="K380">
        <v>0</v>
      </c>
      <c r="L380" t="s">
        <v>566</v>
      </c>
      <c r="M380" s="9" t="s">
        <v>19</v>
      </c>
      <c r="N380" s="3" t="str" cm="1">
        <f t="array" ref="N380">_xlfn.IFS(
OR(ISNUMBER(SEARCH("email",D380)),ISNUMBER(SEARCH("email",F380)),ISNUMBER(SEARCH("polish",D380)),ISNUMBER(SEARCH("rewrite",F380)),ISNUMBER(SEARCH("copy",F380))),"Writing and comms",
OR(ISNUMBER(SEARCH("research",F380)),ISNUMBER(SEARCH("intel",F380)),ISNUMBER(SEARCH("company",D380)),ISNUMBER(SEARCH("digger",D380))),"Research and intel",
OR(ISNUMBER(SEARCH("prompt",D380)),ISNUMBER(SEARCH("prompt",F380))),"Prompting help",
OR(ISNUMBER(SEARCH("role",D380)),ISNUMBER(SEARCH("scorecard",F380)),ISNUMBER(SEARCH("competenc",F380))),"Role and leadership advisory",
OR(ISNUMBER(SEARCH("meeting",F380)),ISNUMBER(SEARCH("notes",F380)),ISNUMBER(SEARCH("summary",F380))),"Meeting notes and summarization",
TRUE,"Other or fragmented"
)</f>
        <v>Other or fragmented</v>
      </c>
      <c r="O380" s="3" t="s">
        <v>20</v>
      </c>
      <c r="P380" s="3"/>
    </row>
    <row r="381" spans="1:16" x14ac:dyDescent="0.25">
      <c r="A381" t="s">
        <v>15</v>
      </c>
      <c r="B381" s="1">
        <v>45992</v>
      </c>
      <c r="C381" s="1">
        <v>46022</v>
      </c>
      <c r="D381" t="s">
        <v>567</v>
      </c>
      <c r="E381" t="s">
        <v>24</v>
      </c>
      <c r="F381" t="s">
        <v>568</v>
      </c>
      <c r="G381">
        <v>0</v>
      </c>
      <c r="J381">
        <v>0</v>
      </c>
      <c r="K381">
        <v>0</v>
      </c>
      <c r="L381" t="s">
        <v>566</v>
      </c>
      <c r="M381" s="10" t="s">
        <v>19</v>
      </c>
      <c r="N381" s="3" t="str" cm="1">
        <f t="array" ref="N381">_xlfn.IFS(
OR(ISNUMBER(SEARCH("email",D381)),ISNUMBER(SEARCH("email",F381)),ISNUMBER(SEARCH("polish",D381)),ISNUMBER(SEARCH("rewrite",F381)),ISNUMBER(SEARCH("copy",F381))),"Writing and comms",
OR(ISNUMBER(SEARCH("research",F381)),ISNUMBER(SEARCH("intel",F381)),ISNUMBER(SEARCH("company",D381)),ISNUMBER(SEARCH("digger",D381))),"Research and intel",
OR(ISNUMBER(SEARCH("prompt",D381)),ISNUMBER(SEARCH("prompt",F381))),"Prompting help",
OR(ISNUMBER(SEARCH("role",D381)),ISNUMBER(SEARCH("scorecard",F381)),ISNUMBER(SEARCH("competenc",F381))),"Role and leadership advisory",
OR(ISNUMBER(SEARCH("meeting",F381)),ISNUMBER(SEARCH("notes",F381)),ISNUMBER(SEARCH("summary",F381))),"Meeting notes and summarization",
TRUE,"Other or fragmented"
)</f>
        <v>Research and intel</v>
      </c>
      <c r="O381" s="3" t="s">
        <v>20</v>
      </c>
      <c r="P381" s="3"/>
    </row>
    <row r="382" spans="1:16" x14ac:dyDescent="0.25">
      <c r="A382" t="s">
        <v>15</v>
      </c>
      <c r="B382" s="1">
        <v>45992</v>
      </c>
      <c r="C382" s="1">
        <v>46022</v>
      </c>
      <c r="D382" t="s">
        <v>569</v>
      </c>
      <c r="E382" t="s">
        <v>24</v>
      </c>
      <c r="F382" t="s">
        <v>570</v>
      </c>
      <c r="G382">
        <v>0</v>
      </c>
      <c r="J382">
        <v>0</v>
      </c>
      <c r="K382">
        <v>0</v>
      </c>
      <c r="L382" t="s">
        <v>566</v>
      </c>
      <c r="M382" s="9" t="s">
        <v>19</v>
      </c>
      <c r="N382" s="3" t="str" cm="1">
        <f t="array" ref="N382">_xlfn.IFS(
OR(ISNUMBER(SEARCH("email",D382)),ISNUMBER(SEARCH("email",F382)),ISNUMBER(SEARCH("polish",D382)),ISNUMBER(SEARCH("rewrite",F382)),ISNUMBER(SEARCH("copy",F382))),"Writing and comms",
OR(ISNUMBER(SEARCH("research",F382)),ISNUMBER(SEARCH("intel",F382)),ISNUMBER(SEARCH("company",D382)),ISNUMBER(SEARCH("digger",D382))),"Research and intel",
OR(ISNUMBER(SEARCH("prompt",D382)),ISNUMBER(SEARCH("prompt",F382))),"Prompting help",
OR(ISNUMBER(SEARCH("role",D382)),ISNUMBER(SEARCH("scorecard",F382)),ISNUMBER(SEARCH("competenc",F382))),"Role and leadership advisory",
OR(ISNUMBER(SEARCH("meeting",F382)),ISNUMBER(SEARCH("notes",F382)),ISNUMBER(SEARCH("summary",F382))),"Meeting notes and summarization",
TRUE,"Other or fragmented"
)</f>
        <v>Research and intel</v>
      </c>
      <c r="O382" s="3" t="s">
        <v>20</v>
      </c>
      <c r="P382" s="3"/>
    </row>
    <row r="383" spans="1:16" x14ac:dyDescent="0.25">
      <c r="A383" t="s">
        <v>15</v>
      </c>
      <c r="B383" s="1">
        <v>45992</v>
      </c>
      <c r="C383" s="1">
        <v>46022</v>
      </c>
      <c r="E383" t="s">
        <v>24</v>
      </c>
      <c r="G383">
        <v>0</v>
      </c>
      <c r="J383">
        <v>0</v>
      </c>
      <c r="K383">
        <v>0</v>
      </c>
      <c r="L383" t="s">
        <v>571</v>
      </c>
      <c r="M383" s="10" t="s">
        <v>19</v>
      </c>
      <c r="N383" s="3" t="str" cm="1">
        <f t="array" ref="N383">_xlfn.IFS(
OR(ISNUMBER(SEARCH("email",D383)),ISNUMBER(SEARCH("email",F383)),ISNUMBER(SEARCH("polish",D383)),ISNUMBER(SEARCH("rewrite",F383)),ISNUMBER(SEARCH("copy",F383))),"Writing and comms",
OR(ISNUMBER(SEARCH("research",F383)),ISNUMBER(SEARCH("intel",F383)),ISNUMBER(SEARCH("company",D383)),ISNUMBER(SEARCH("digger",D383))),"Research and intel",
OR(ISNUMBER(SEARCH("prompt",D383)),ISNUMBER(SEARCH("prompt",F383))),"Prompting help",
OR(ISNUMBER(SEARCH("role",D383)),ISNUMBER(SEARCH("scorecard",F383)),ISNUMBER(SEARCH("competenc",F383))),"Role and leadership advisory",
OR(ISNUMBER(SEARCH("meeting",F383)),ISNUMBER(SEARCH("notes",F383)),ISNUMBER(SEARCH("summary",F383))),"Meeting notes and summarization",
TRUE,"Other or fragmented"
)</f>
        <v>Other or fragmented</v>
      </c>
      <c r="O383" s="3" t="s">
        <v>20</v>
      </c>
      <c r="P383" s="3"/>
    </row>
    <row r="384" spans="1:16" x14ac:dyDescent="0.25">
      <c r="A384" t="s">
        <v>15</v>
      </c>
      <c r="B384" s="1">
        <v>45992</v>
      </c>
      <c r="C384" s="1">
        <v>46022</v>
      </c>
      <c r="D384" t="s">
        <v>497</v>
      </c>
      <c r="E384" t="s">
        <v>24</v>
      </c>
      <c r="F384" t="s">
        <v>572</v>
      </c>
      <c r="G384">
        <v>0</v>
      </c>
      <c r="J384">
        <v>0</v>
      </c>
      <c r="K384">
        <v>0</v>
      </c>
      <c r="L384" t="s">
        <v>573</v>
      </c>
      <c r="M384" s="9" t="s">
        <v>19</v>
      </c>
      <c r="N384" s="3" t="str" cm="1">
        <f t="array" ref="N384">_xlfn.IFS(
OR(ISNUMBER(SEARCH("email",D384)),ISNUMBER(SEARCH("email",F384)),ISNUMBER(SEARCH("polish",D384)),ISNUMBER(SEARCH("rewrite",F384)),ISNUMBER(SEARCH("copy",F384))),"Writing and comms",
OR(ISNUMBER(SEARCH("research",F384)),ISNUMBER(SEARCH("intel",F384)),ISNUMBER(SEARCH("company",D384)),ISNUMBER(SEARCH("digger",D384))),"Research and intel",
OR(ISNUMBER(SEARCH("prompt",D384)),ISNUMBER(SEARCH("prompt",F384))),"Prompting help",
OR(ISNUMBER(SEARCH("role",D384)),ISNUMBER(SEARCH("scorecard",F384)),ISNUMBER(SEARCH("competenc",F384))),"Role and leadership advisory",
OR(ISNUMBER(SEARCH("meeting",F384)),ISNUMBER(SEARCH("notes",F384)),ISNUMBER(SEARCH("summary",F384))),"Meeting notes and summarization",
TRUE,"Other or fragmented"
)</f>
        <v>Meeting notes and summarization</v>
      </c>
      <c r="O384" s="3" t="s">
        <v>20</v>
      </c>
      <c r="P384" s="3"/>
    </row>
    <row r="385" spans="1:16" x14ac:dyDescent="0.25">
      <c r="A385" t="s">
        <v>15</v>
      </c>
      <c r="B385" s="1">
        <v>45992</v>
      </c>
      <c r="C385" s="1">
        <v>46022</v>
      </c>
      <c r="D385" t="s">
        <v>574</v>
      </c>
      <c r="E385" t="s">
        <v>17</v>
      </c>
      <c r="G385">
        <v>1</v>
      </c>
      <c r="H385" s="1">
        <v>45994</v>
      </c>
      <c r="I385" s="1">
        <v>46014</v>
      </c>
      <c r="J385">
        <v>12</v>
      </c>
      <c r="K385">
        <v>1</v>
      </c>
      <c r="L385" t="s">
        <v>575</v>
      </c>
      <c r="M385" s="10" t="s">
        <v>19</v>
      </c>
      <c r="N385" s="3" t="str" cm="1">
        <f t="array" ref="N385">_xlfn.IFS(
OR(ISNUMBER(SEARCH("email",D385)),ISNUMBER(SEARCH("email",F385)),ISNUMBER(SEARCH("polish",D385)),ISNUMBER(SEARCH("rewrite",F385)),ISNUMBER(SEARCH("copy",F385))),"Writing and comms",
OR(ISNUMBER(SEARCH("research",F385)),ISNUMBER(SEARCH("intel",F385)),ISNUMBER(SEARCH("company",D385)),ISNUMBER(SEARCH("digger",D385))),"Research and intel",
OR(ISNUMBER(SEARCH("prompt",D385)),ISNUMBER(SEARCH("prompt",F385))),"Prompting help",
OR(ISNUMBER(SEARCH("role",D385)),ISNUMBER(SEARCH("scorecard",F385)),ISNUMBER(SEARCH("competenc",F385))),"Role and leadership advisory",
OR(ISNUMBER(SEARCH("meeting",F385)),ISNUMBER(SEARCH("notes",F385)),ISNUMBER(SEARCH("summary",F385))),"Meeting notes and summarization",
TRUE,"Other or fragmented"
)</f>
        <v>Other or fragmented</v>
      </c>
      <c r="O385" s="3" t="s">
        <v>20</v>
      </c>
      <c r="P385" s="3"/>
    </row>
    <row r="386" spans="1:16" x14ac:dyDescent="0.25">
      <c r="A386" t="s">
        <v>15</v>
      </c>
      <c r="B386" s="1">
        <v>45992</v>
      </c>
      <c r="C386" s="1">
        <v>46022</v>
      </c>
      <c r="E386" t="s">
        <v>24</v>
      </c>
      <c r="G386">
        <v>0</v>
      </c>
      <c r="J386">
        <v>0</v>
      </c>
      <c r="K386">
        <v>0</v>
      </c>
      <c r="L386" t="s">
        <v>576</v>
      </c>
      <c r="M386" s="9" t="s">
        <v>19</v>
      </c>
      <c r="N386" s="3" t="str" cm="1">
        <f t="array" ref="N386">_xlfn.IFS(
OR(ISNUMBER(SEARCH("email",D386)),ISNUMBER(SEARCH("email",F386)),ISNUMBER(SEARCH("polish",D386)),ISNUMBER(SEARCH("rewrite",F386)),ISNUMBER(SEARCH("copy",F386))),"Writing and comms",
OR(ISNUMBER(SEARCH("research",F386)),ISNUMBER(SEARCH("intel",F386)),ISNUMBER(SEARCH("company",D386)),ISNUMBER(SEARCH("digger",D386))),"Research and intel",
OR(ISNUMBER(SEARCH("prompt",D386)),ISNUMBER(SEARCH("prompt",F386))),"Prompting help",
OR(ISNUMBER(SEARCH("role",D386)),ISNUMBER(SEARCH("scorecard",F386)),ISNUMBER(SEARCH("competenc",F386))),"Role and leadership advisory",
OR(ISNUMBER(SEARCH("meeting",F386)),ISNUMBER(SEARCH("notes",F386)),ISNUMBER(SEARCH("summary",F386))),"Meeting notes and summarization",
TRUE,"Other or fragmented"
)</f>
        <v>Other or fragmented</v>
      </c>
      <c r="O386" s="3" t="s">
        <v>20</v>
      </c>
      <c r="P386" s="3"/>
    </row>
    <row r="387" spans="1:16" x14ac:dyDescent="0.25">
      <c r="A387" t="s">
        <v>15</v>
      </c>
      <c r="B387" s="1">
        <v>45992</v>
      </c>
      <c r="C387" s="1">
        <v>46022</v>
      </c>
      <c r="E387" t="s">
        <v>24</v>
      </c>
      <c r="G387">
        <v>0</v>
      </c>
      <c r="J387">
        <v>0</v>
      </c>
      <c r="K387">
        <v>0</v>
      </c>
      <c r="L387" t="s">
        <v>577</v>
      </c>
      <c r="M387" s="10" t="s">
        <v>19</v>
      </c>
      <c r="N387" s="3" t="str" cm="1">
        <f t="array" ref="N387">_xlfn.IFS(
OR(ISNUMBER(SEARCH("email",D387)),ISNUMBER(SEARCH("email",F387)),ISNUMBER(SEARCH("polish",D387)),ISNUMBER(SEARCH("rewrite",F387)),ISNUMBER(SEARCH("copy",F387))),"Writing and comms",
OR(ISNUMBER(SEARCH("research",F387)),ISNUMBER(SEARCH("intel",F387)),ISNUMBER(SEARCH("company",D387)),ISNUMBER(SEARCH("digger",D387))),"Research and intel",
OR(ISNUMBER(SEARCH("prompt",D387)),ISNUMBER(SEARCH("prompt",F387))),"Prompting help",
OR(ISNUMBER(SEARCH("role",D387)),ISNUMBER(SEARCH("scorecard",F387)),ISNUMBER(SEARCH("competenc",F387))),"Role and leadership advisory",
OR(ISNUMBER(SEARCH("meeting",F387)),ISNUMBER(SEARCH("notes",F387)),ISNUMBER(SEARCH("summary",F387))),"Meeting notes and summarization",
TRUE,"Other or fragmented"
)</f>
        <v>Other or fragmented</v>
      </c>
      <c r="O387" s="3" t="s">
        <v>20</v>
      </c>
      <c r="P387" s="3"/>
    </row>
    <row r="388" spans="1:16" x14ac:dyDescent="0.25">
      <c r="A388" t="s">
        <v>15</v>
      </c>
      <c r="B388" s="1">
        <v>45992</v>
      </c>
      <c r="C388" s="1">
        <v>46022</v>
      </c>
      <c r="E388" t="s">
        <v>24</v>
      </c>
      <c r="G388">
        <v>0</v>
      </c>
      <c r="J388">
        <v>0</v>
      </c>
      <c r="K388">
        <v>0</v>
      </c>
      <c r="L388" t="s">
        <v>578</v>
      </c>
      <c r="M388" s="9" t="s">
        <v>19</v>
      </c>
      <c r="N388" s="3" t="str" cm="1">
        <f t="array" ref="N388">_xlfn.IFS(
OR(ISNUMBER(SEARCH("email",D388)),ISNUMBER(SEARCH("email",F388)),ISNUMBER(SEARCH("polish",D388)),ISNUMBER(SEARCH("rewrite",F388)),ISNUMBER(SEARCH("copy",F388))),"Writing and comms",
OR(ISNUMBER(SEARCH("research",F388)),ISNUMBER(SEARCH("intel",F388)),ISNUMBER(SEARCH("company",D388)),ISNUMBER(SEARCH("digger",D388))),"Research and intel",
OR(ISNUMBER(SEARCH("prompt",D388)),ISNUMBER(SEARCH("prompt",F388))),"Prompting help",
OR(ISNUMBER(SEARCH("role",D388)),ISNUMBER(SEARCH("scorecard",F388)),ISNUMBER(SEARCH("competenc",F388))),"Role and leadership advisory",
OR(ISNUMBER(SEARCH("meeting",F388)),ISNUMBER(SEARCH("notes",F388)),ISNUMBER(SEARCH("summary",F388))),"Meeting notes and summarization",
TRUE,"Other or fragmented"
)</f>
        <v>Other or fragmented</v>
      </c>
      <c r="O388" s="3" t="s">
        <v>20</v>
      </c>
      <c r="P388" s="3"/>
    </row>
    <row r="389" spans="1:16" x14ac:dyDescent="0.25">
      <c r="A389" t="s">
        <v>15</v>
      </c>
      <c r="B389" s="1">
        <v>45992</v>
      </c>
      <c r="C389" s="1">
        <v>46022</v>
      </c>
      <c r="D389" t="s">
        <v>579</v>
      </c>
      <c r="E389" t="s">
        <v>24</v>
      </c>
      <c r="G389">
        <v>0</v>
      </c>
      <c r="J389">
        <v>0</v>
      </c>
      <c r="K389">
        <v>0</v>
      </c>
      <c r="L389" t="s">
        <v>578</v>
      </c>
      <c r="M389" s="10" t="s">
        <v>19</v>
      </c>
      <c r="N389" s="3" t="str" cm="1">
        <f t="array" ref="N389">_xlfn.IFS(
OR(ISNUMBER(SEARCH("email",D389)),ISNUMBER(SEARCH("email",F389)),ISNUMBER(SEARCH("polish",D389)),ISNUMBER(SEARCH("rewrite",F389)),ISNUMBER(SEARCH("copy",F389))),"Writing and comms",
OR(ISNUMBER(SEARCH("research",F389)),ISNUMBER(SEARCH("intel",F389)),ISNUMBER(SEARCH("company",D389)),ISNUMBER(SEARCH("digger",D389))),"Research and intel",
OR(ISNUMBER(SEARCH("prompt",D389)),ISNUMBER(SEARCH("prompt",F389))),"Prompting help",
OR(ISNUMBER(SEARCH("role",D389)),ISNUMBER(SEARCH("scorecard",F389)),ISNUMBER(SEARCH("competenc",F389))),"Role and leadership advisory",
OR(ISNUMBER(SEARCH("meeting",F389)),ISNUMBER(SEARCH("notes",F389)),ISNUMBER(SEARCH("summary",F389))),"Meeting notes and summarization",
TRUE,"Other or fragmented"
)</f>
        <v>Research and intel</v>
      </c>
      <c r="O389" s="3" t="s">
        <v>20</v>
      </c>
      <c r="P389" s="3"/>
    </row>
    <row r="390" spans="1:16" x14ac:dyDescent="0.25">
      <c r="A390" t="s">
        <v>15</v>
      </c>
      <c r="B390" s="1">
        <v>45992</v>
      </c>
      <c r="C390" s="1">
        <v>46022</v>
      </c>
      <c r="E390" t="s">
        <v>24</v>
      </c>
      <c r="G390">
        <v>0</v>
      </c>
      <c r="J390">
        <v>0</v>
      </c>
      <c r="K390">
        <v>0</v>
      </c>
      <c r="L390" t="s">
        <v>580</v>
      </c>
      <c r="M390" s="9" t="s">
        <v>19</v>
      </c>
      <c r="N390" s="3" t="str" cm="1">
        <f t="array" ref="N390">_xlfn.IFS(
OR(ISNUMBER(SEARCH("email",D390)),ISNUMBER(SEARCH("email",F390)),ISNUMBER(SEARCH("polish",D390)),ISNUMBER(SEARCH("rewrite",F390)),ISNUMBER(SEARCH("copy",F390))),"Writing and comms",
OR(ISNUMBER(SEARCH("research",F390)),ISNUMBER(SEARCH("intel",F390)),ISNUMBER(SEARCH("company",D390)),ISNUMBER(SEARCH("digger",D390))),"Research and intel",
OR(ISNUMBER(SEARCH("prompt",D390)),ISNUMBER(SEARCH("prompt",F390))),"Prompting help",
OR(ISNUMBER(SEARCH("role",D390)),ISNUMBER(SEARCH("scorecard",F390)),ISNUMBER(SEARCH("competenc",F390))),"Role and leadership advisory",
OR(ISNUMBER(SEARCH("meeting",F390)),ISNUMBER(SEARCH("notes",F390)),ISNUMBER(SEARCH("summary",F390))),"Meeting notes and summarization",
TRUE,"Other or fragmented"
)</f>
        <v>Other or fragmented</v>
      </c>
      <c r="O390" s="3" t="s">
        <v>20</v>
      </c>
      <c r="P390" s="3"/>
    </row>
    <row r="391" spans="1:16" x14ac:dyDescent="0.25">
      <c r="A391" t="s">
        <v>15</v>
      </c>
      <c r="B391" s="1">
        <v>45992</v>
      </c>
      <c r="C391" s="1">
        <v>46022</v>
      </c>
      <c r="D391" t="s">
        <v>581</v>
      </c>
      <c r="E391" t="s">
        <v>17</v>
      </c>
      <c r="G391">
        <v>1</v>
      </c>
      <c r="H391" s="1">
        <v>45997</v>
      </c>
      <c r="I391" s="1">
        <v>46007</v>
      </c>
      <c r="J391">
        <v>143</v>
      </c>
      <c r="K391">
        <v>1</v>
      </c>
      <c r="L391" t="s">
        <v>582</v>
      </c>
      <c r="M391" s="10" t="s">
        <v>19</v>
      </c>
      <c r="N391" s="3" t="str" cm="1">
        <f t="array" ref="N391">_xlfn.IFS(
OR(ISNUMBER(SEARCH("email",D391)),ISNUMBER(SEARCH("email",F391)),ISNUMBER(SEARCH("polish",D391)),ISNUMBER(SEARCH("rewrite",F391)),ISNUMBER(SEARCH("copy",F391))),"Writing and comms",
OR(ISNUMBER(SEARCH("research",F391)),ISNUMBER(SEARCH("intel",F391)),ISNUMBER(SEARCH("company",D391)),ISNUMBER(SEARCH("digger",D391))),"Research and intel",
OR(ISNUMBER(SEARCH("prompt",D391)),ISNUMBER(SEARCH("prompt",F391))),"Prompting help",
OR(ISNUMBER(SEARCH("role",D391)),ISNUMBER(SEARCH("scorecard",F391)),ISNUMBER(SEARCH("competenc",F391))),"Role and leadership advisory",
OR(ISNUMBER(SEARCH("meeting",F391)),ISNUMBER(SEARCH("notes",F391)),ISNUMBER(SEARCH("summary",F391))),"Meeting notes and summarization",
TRUE,"Other or fragmented"
)</f>
        <v>Other or fragmented</v>
      </c>
      <c r="O391" s="3" t="s">
        <v>20</v>
      </c>
      <c r="P391" s="3"/>
    </row>
    <row r="392" spans="1:16" x14ac:dyDescent="0.25">
      <c r="A392" t="s">
        <v>15</v>
      </c>
      <c r="B392" s="1">
        <v>45992</v>
      </c>
      <c r="C392" s="1">
        <v>46022</v>
      </c>
      <c r="D392" t="s">
        <v>583</v>
      </c>
      <c r="E392" t="s">
        <v>17</v>
      </c>
      <c r="F392" t="s">
        <v>584</v>
      </c>
      <c r="G392">
        <v>1</v>
      </c>
      <c r="H392" s="1">
        <v>46006</v>
      </c>
      <c r="I392" s="1">
        <v>46010</v>
      </c>
      <c r="J392">
        <v>16</v>
      </c>
      <c r="K392">
        <v>2</v>
      </c>
      <c r="L392" t="s">
        <v>585</v>
      </c>
      <c r="M392" s="9" t="s">
        <v>19</v>
      </c>
      <c r="N392" s="3" t="str" cm="1">
        <f t="array" ref="N392">_xlfn.IFS(
OR(ISNUMBER(SEARCH("email",D392)),ISNUMBER(SEARCH("email",F392)),ISNUMBER(SEARCH("polish",D392)),ISNUMBER(SEARCH("rewrite",F392)),ISNUMBER(SEARCH("copy",F392))),"Writing and comms",
OR(ISNUMBER(SEARCH("research",F392)),ISNUMBER(SEARCH("intel",F392)),ISNUMBER(SEARCH("company",D392)),ISNUMBER(SEARCH("digger",D392))),"Research and intel",
OR(ISNUMBER(SEARCH("prompt",D392)),ISNUMBER(SEARCH("prompt",F392))),"Prompting help",
OR(ISNUMBER(SEARCH("role",D392)),ISNUMBER(SEARCH("scorecard",F392)),ISNUMBER(SEARCH("competenc",F392))),"Role and leadership advisory",
OR(ISNUMBER(SEARCH("meeting",F392)),ISNUMBER(SEARCH("notes",F392)),ISNUMBER(SEARCH("summary",F392))),"Meeting notes and summarization",
TRUE,"Other or fragmented"
)</f>
        <v>Other or fragmented</v>
      </c>
      <c r="O392" s="3" t="s">
        <v>20</v>
      </c>
      <c r="P392" s="3"/>
    </row>
    <row r="393" spans="1:16" x14ac:dyDescent="0.25">
      <c r="A393" t="s">
        <v>15</v>
      </c>
      <c r="B393" s="1">
        <v>45992</v>
      </c>
      <c r="C393" s="1">
        <v>46022</v>
      </c>
      <c r="D393" t="s">
        <v>586</v>
      </c>
      <c r="E393" t="s">
        <v>17</v>
      </c>
      <c r="F393" t="s">
        <v>587</v>
      </c>
      <c r="G393">
        <v>1</v>
      </c>
      <c r="H393" s="1">
        <v>46006</v>
      </c>
      <c r="I393" s="1">
        <v>46006</v>
      </c>
      <c r="J393">
        <v>1</v>
      </c>
      <c r="K393">
        <v>1</v>
      </c>
      <c r="L393" t="s">
        <v>585</v>
      </c>
      <c r="M393" s="10" t="s">
        <v>19</v>
      </c>
      <c r="N393" s="3" t="str" cm="1">
        <f t="array" ref="N393">_xlfn.IFS(
OR(ISNUMBER(SEARCH("email",D393)),ISNUMBER(SEARCH("email",F393)),ISNUMBER(SEARCH("polish",D393)),ISNUMBER(SEARCH("rewrite",F393)),ISNUMBER(SEARCH("copy",F393))),"Writing and comms",
OR(ISNUMBER(SEARCH("research",F393)),ISNUMBER(SEARCH("intel",F393)),ISNUMBER(SEARCH("company",D393)),ISNUMBER(SEARCH("digger",D393))),"Research and intel",
OR(ISNUMBER(SEARCH("prompt",D393)),ISNUMBER(SEARCH("prompt",F393))),"Prompting help",
OR(ISNUMBER(SEARCH("role",D393)),ISNUMBER(SEARCH("scorecard",F393)),ISNUMBER(SEARCH("competenc",F393))),"Role and leadership advisory",
OR(ISNUMBER(SEARCH("meeting",F393)),ISNUMBER(SEARCH("notes",F393)),ISNUMBER(SEARCH("summary",F393))),"Meeting notes and summarization",
TRUE,"Other or fragmented"
)</f>
        <v>Other or fragmented</v>
      </c>
      <c r="O393" s="3" t="s">
        <v>20</v>
      </c>
      <c r="P393" s="3"/>
    </row>
    <row r="394" spans="1:16" x14ac:dyDescent="0.25">
      <c r="A394" t="s">
        <v>15</v>
      </c>
      <c r="B394" s="1">
        <v>45992</v>
      </c>
      <c r="C394" s="1">
        <v>46022</v>
      </c>
      <c r="D394" t="s">
        <v>588</v>
      </c>
      <c r="E394" t="s">
        <v>17</v>
      </c>
      <c r="F394" t="s">
        <v>589</v>
      </c>
      <c r="G394">
        <v>1</v>
      </c>
      <c r="H394" s="1">
        <v>46006</v>
      </c>
      <c r="I394" s="1">
        <v>46006</v>
      </c>
      <c r="J394">
        <v>3</v>
      </c>
      <c r="K394">
        <v>1</v>
      </c>
      <c r="L394" t="s">
        <v>585</v>
      </c>
      <c r="M394" s="9" t="s">
        <v>12</v>
      </c>
      <c r="N394" s="3" t="str" cm="1">
        <f t="array" ref="N394">_xlfn.IFS(
OR(ISNUMBER(SEARCH("email",D394)),ISNUMBER(SEARCH("email",F394)),ISNUMBER(SEARCH("polish",D394)),ISNUMBER(SEARCH("rewrite",F394)),ISNUMBER(SEARCH("copy",F394))),"Writing and comms",
OR(ISNUMBER(SEARCH("research",F394)),ISNUMBER(SEARCH("intel",F394)),ISNUMBER(SEARCH("company",D394)),ISNUMBER(SEARCH("digger",D394))),"Research and intel",
OR(ISNUMBER(SEARCH("prompt",D394)),ISNUMBER(SEARCH("prompt",F394))),"Prompting help",
OR(ISNUMBER(SEARCH("role",D394)),ISNUMBER(SEARCH("scorecard",F394)),ISNUMBER(SEARCH("competenc",F394))),"Role and leadership advisory",
OR(ISNUMBER(SEARCH("meeting",F394)),ISNUMBER(SEARCH("notes",F394)),ISNUMBER(SEARCH("summary",F394))),"Meeting notes and summarization",
TRUE,"Other or fragmented"
)</f>
        <v>Meeting notes and summarization</v>
      </c>
      <c r="O394" s="3" t="s">
        <v>20</v>
      </c>
      <c r="P394" s="3"/>
    </row>
    <row r="395" spans="1:16" x14ac:dyDescent="0.25">
      <c r="A395" t="s">
        <v>15</v>
      </c>
      <c r="B395" s="1">
        <v>45992</v>
      </c>
      <c r="C395" s="1">
        <v>46022</v>
      </c>
      <c r="D395" t="s">
        <v>590</v>
      </c>
      <c r="E395" t="s">
        <v>17</v>
      </c>
      <c r="F395" t="s">
        <v>591</v>
      </c>
      <c r="G395">
        <v>1</v>
      </c>
      <c r="H395" s="1">
        <v>46006</v>
      </c>
      <c r="I395" s="1">
        <v>46006</v>
      </c>
      <c r="J395">
        <v>4</v>
      </c>
      <c r="K395">
        <v>1</v>
      </c>
      <c r="L395" t="s">
        <v>585</v>
      </c>
      <c r="M395" s="10" t="s">
        <v>19</v>
      </c>
      <c r="N395" s="3" t="str" cm="1">
        <f t="array" ref="N395">_xlfn.IFS(
OR(ISNUMBER(SEARCH("email",D395)),ISNUMBER(SEARCH("email",F395)),ISNUMBER(SEARCH("polish",D395)),ISNUMBER(SEARCH("rewrite",F395)),ISNUMBER(SEARCH("copy",F395))),"Writing and comms",
OR(ISNUMBER(SEARCH("research",F395)),ISNUMBER(SEARCH("intel",F395)),ISNUMBER(SEARCH("company",D395)),ISNUMBER(SEARCH("digger",D395))),"Research and intel",
OR(ISNUMBER(SEARCH("prompt",D395)),ISNUMBER(SEARCH("prompt",F395))),"Prompting help",
OR(ISNUMBER(SEARCH("role",D395)),ISNUMBER(SEARCH("scorecard",F395)),ISNUMBER(SEARCH("competenc",F395))),"Role and leadership advisory",
OR(ISNUMBER(SEARCH("meeting",F395)),ISNUMBER(SEARCH("notes",F395)),ISNUMBER(SEARCH("summary",F395))),"Meeting notes and summarization",
TRUE,"Other or fragmented"
)</f>
        <v>Other or fragmented</v>
      </c>
      <c r="O395" s="3" t="s">
        <v>20</v>
      </c>
      <c r="P395" s="3"/>
    </row>
    <row r="396" spans="1:16" x14ac:dyDescent="0.25">
      <c r="A396" t="s">
        <v>15</v>
      </c>
      <c r="B396" s="1">
        <v>45992</v>
      </c>
      <c r="C396" s="1">
        <v>46022</v>
      </c>
      <c r="D396" t="s">
        <v>592</v>
      </c>
      <c r="E396" t="s">
        <v>17</v>
      </c>
      <c r="G396">
        <v>1</v>
      </c>
      <c r="H396" s="1">
        <v>46008</v>
      </c>
      <c r="I396" s="1">
        <v>46008</v>
      </c>
      <c r="J396">
        <v>15</v>
      </c>
      <c r="K396">
        <v>1</v>
      </c>
      <c r="L396" t="s">
        <v>585</v>
      </c>
      <c r="M396" s="9" t="s">
        <v>19</v>
      </c>
      <c r="N396" s="3" t="str" cm="1">
        <f t="array" ref="N396">_xlfn.IFS(
OR(ISNUMBER(SEARCH("email",D396)),ISNUMBER(SEARCH("email",F396)),ISNUMBER(SEARCH("polish",D396)),ISNUMBER(SEARCH("rewrite",F396)),ISNUMBER(SEARCH("copy",F396))),"Writing and comms",
OR(ISNUMBER(SEARCH("research",F396)),ISNUMBER(SEARCH("intel",F396)),ISNUMBER(SEARCH("company",D396)),ISNUMBER(SEARCH("digger",D396))),"Research and intel",
OR(ISNUMBER(SEARCH("prompt",D396)),ISNUMBER(SEARCH("prompt",F396))),"Prompting help",
OR(ISNUMBER(SEARCH("role",D396)),ISNUMBER(SEARCH("scorecard",F396)),ISNUMBER(SEARCH("competenc",F396))),"Role and leadership advisory",
OR(ISNUMBER(SEARCH("meeting",F396)),ISNUMBER(SEARCH("notes",F396)),ISNUMBER(SEARCH("summary",F396))),"Meeting notes and summarization",
TRUE,"Other or fragmented"
)</f>
        <v>Other or fragmented</v>
      </c>
      <c r="O396" s="3" t="s">
        <v>20</v>
      </c>
      <c r="P396" s="3"/>
    </row>
    <row r="397" spans="1:16" x14ac:dyDescent="0.25">
      <c r="A397" t="s">
        <v>15</v>
      </c>
      <c r="B397" s="1">
        <v>45992</v>
      </c>
      <c r="C397" s="1">
        <v>46022</v>
      </c>
      <c r="E397" t="s">
        <v>24</v>
      </c>
      <c r="G397">
        <v>0</v>
      </c>
      <c r="J397">
        <v>0</v>
      </c>
      <c r="K397">
        <v>0</v>
      </c>
      <c r="L397" t="s">
        <v>585</v>
      </c>
      <c r="M397" s="10" t="s">
        <v>19</v>
      </c>
      <c r="N397" s="3" t="str" cm="1">
        <f t="array" ref="N397">_xlfn.IFS(
OR(ISNUMBER(SEARCH("email",D397)),ISNUMBER(SEARCH("email",F397)),ISNUMBER(SEARCH("polish",D397)),ISNUMBER(SEARCH("rewrite",F397)),ISNUMBER(SEARCH("copy",F397))),"Writing and comms",
OR(ISNUMBER(SEARCH("research",F397)),ISNUMBER(SEARCH("intel",F397)),ISNUMBER(SEARCH("company",D397)),ISNUMBER(SEARCH("digger",D397))),"Research and intel",
OR(ISNUMBER(SEARCH("prompt",D397)),ISNUMBER(SEARCH("prompt",F397))),"Prompting help",
OR(ISNUMBER(SEARCH("role",D397)),ISNUMBER(SEARCH("scorecard",F397)),ISNUMBER(SEARCH("competenc",F397))),"Role and leadership advisory",
OR(ISNUMBER(SEARCH("meeting",F397)),ISNUMBER(SEARCH("notes",F397)),ISNUMBER(SEARCH("summary",F397))),"Meeting notes and summarization",
TRUE,"Other or fragmented"
)</f>
        <v>Other or fragmented</v>
      </c>
      <c r="O397" s="3" t="s">
        <v>20</v>
      </c>
      <c r="P397" s="3"/>
    </row>
    <row r="398" spans="1:16" x14ac:dyDescent="0.25">
      <c r="A398" t="s">
        <v>15</v>
      </c>
      <c r="B398" s="1">
        <v>45992</v>
      </c>
      <c r="C398" s="1">
        <v>46022</v>
      </c>
      <c r="E398" t="s">
        <v>24</v>
      </c>
      <c r="G398">
        <v>0</v>
      </c>
      <c r="J398">
        <v>0</v>
      </c>
      <c r="K398">
        <v>0</v>
      </c>
      <c r="L398" t="s">
        <v>585</v>
      </c>
      <c r="M398" s="9" t="s">
        <v>19</v>
      </c>
      <c r="N398" s="3" t="str" cm="1">
        <f t="array" ref="N398">_xlfn.IFS(
OR(ISNUMBER(SEARCH("email",D398)),ISNUMBER(SEARCH("email",F398)),ISNUMBER(SEARCH("polish",D398)),ISNUMBER(SEARCH("rewrite",F398)),ISNUMBER(SEARCH("copy",F398))),"Writing and comms",
OR(ISNUMBER(SEARCH("research",F398)),ISNUMBER(SEARCH("intel",F398)),ISNUMBER(SEARCH("company",D398)),ISNUMBER(SEARCH("digger",D398))),"Research and intel",
OR(ISNUMBER(SEARCH("prompt",D398)),ISNUMBER(SEARCH("prompt",F398))),"Prompting help",
OR(ISNUMBER(SEARCH("role",D398)),ISNUMBER(SEARCH("scorecard",F398)),ISNUMBER(SEARCH("competenc",F398))),"Role and leadership advisory",
OR(ISNUMBER(SEARCH("meeting",F398)),ISNUMBER(SEARCH("notes",F398)),ISNUMBER(SEARCH("summary",F398))),"Meeting notes and summarization",
TRUE,"Other or fragmented"
)</f>
        <v>Other or fragmented</v>
      </c>
      <c r="O398" s="3" t="s">
        <v>20</v>
      </c>
      <c r="P398" s="3"/>
    </row>
    <row r="399" spans="1:16" x14ac:dyDescent="0.25">
      <c r="A399" t="s">
        <v>15</v>
      </c>
      <c r="B399" s="1">
        <v>45992</v>
      </c>
      <c r="C399" s="1">
        <v>46022</v>
      </c>
      <c r="E399" t="s">
        <v>24</v>
      </c>
      <c r="G399">
        <v>0</v>
      </c>
      <c r="J399">
        <v>0</v>
      </c>
      <c r="K399">
        <v>0</v>
      </c>
      <c r="L399" t="s">
        <v>585</v>
      </c>
      <c r="M399" s="10" t="s">
        <v>19</v>
      </c>
      <c r="N399" s="3" t="str" cm="1">
        <f t="array" ref="N399">_xlfn.IFS(
OR(ISNUMBER(SEARCH("email",D399)),ISNUMBER(SEARCH("email",F399)),ISNUMBER(SEARCH("polish",D399)),ISNUMBER(SEARCH("rewrite",F399)),ISNUMBER(SEARCH("copy",F399))),"Writing and comms",
OR(ISNUMBER(SEARCH("research",F399)),ISNUMBER(SEARCH("intel",F399)),ISNUMBER(SEARCH("company",D399)),ISNUMBER(SEARCH("digger",D399))),"Research and intel",
OR(ISNUMBER(SEARCH("prompt",D399)),ISNUMBER(SEARCH("prompt",F399))),"Prompting help",
OR(ISNUMBER(SEARCH("role",D399)),ISNUMBER(SEARCH("scorecard",F399)),ISNUMBER(SEARCH("competenc",F399))),"Role and leadership advisory",
OR(ISNUMBER(SEARCH("meeting",F399)),ISNUMBER(SEARCH("notes",F399)),ISNUMBER(SEARCH("summary",F399))),"Meeting notes and summarization",
TRUE,"Other or fragmented"
)</f>
        <v>Other or fragmented</v>
      </c>
      <c r="O399" s="3" t="s">
        <v>20</v>
      </c>
      <c r="P399" s="3"/>
    </row>
    <row r="400" spans="1:16" x14ac:dyDescent="0.25">
      <c r="A400" t="s">
        <v>15</v>
      </c>
      <c r="B400" s="1">
        <v>45992</v>
      </c>
      <c r="C400" s="1">
        <v>46022</v>
      </c>
      <c r="D400" t="s">
        <v>593</v>
      </c>
      <c r="E400" t="s">
        <v>24</v>
      </c>
      <c r="F400" t="s">
        <v>587</v>
      </c>
      <c r="G400">
        <v>0</v>
      </c>
      <c r="J400">
        <v>0</v>
      </c>
      <c r="K400">
        <v>0</v>
      </c>
      <c r="L400" t="s">
        <v>585</v>
      </c>
      <c r="M400" s="9" t="s">
        <v>19</v>
      </c>
      <c r="N400" s="3" t="str" cm="1">
        <f t="array" ref="N400">_xlfn.IFS(
OR(ISNUMBER(SEARCH("email",D400)),ISNUMBER(SEARCH("email",F400)),ISNUMBER(SEARCH("polish",D400)),ISNUMBER(SEARCH("rewrite",F400)),ISNUMBER(SEARCH("copy",F400))),"Writing and comms",
OR(ISNUMBER(SEARCH("research",F400)),ISNUMBER(SEARCH("intel",F400)),ISNUMBER(SEARCH("company",D400)),ISNUMBER(SEARCH("digger",D400))),"Research and intel",
OR(ISNUMBER(SEARCH("prompt",D400)),ISNUMBER(SEARCH("prompt",F400))),"Prompting help",
OR(ISNUMBER(SEARCH("role",D400)),ISNUMBER(SEARCH("scorecard",F400)),ISNUMBER(SEARCH("competenc",F400))),"Role and leadership advisory",
OR(ISNUMBER(SEARCH("meeting",F400)),ISNUMBER(SEARCH("notes",F400)),ISNUMBER(SEARCH("summary",F400))),"Meeting notes and summarization",
TRUE,"Other or fragmented"
)</f>
        <v>Other or fragmented</v>
      </c>
      <c r="O400" s="3" t="s">
        <v>20</v>
      </c>
      <c r="P400" s="3"/>
    </row>
    <row r="401" spans="1:16" x14ac:dyDescent="0.25">
      <c r="A401" t="s">
        <v>15</v>
      </c>
      <c r="B401" s="1">
        <v>45992</v>
      </c>
      <c r="C401" s="1">
        <v>46022</v>
      </c>
      <c r="D401" t="s">
        <v>594</v>
      </c>
      <c r="E401" t="s">
        <v>17</v>
      </c>
      <c r="F401" t="s">
        <v>595</v>
      </c>
      <c r="G401">
        <v>1</v>
      </c>
      <c r="H401" s="1">
        <v>45994</v>
      </c>
      <c r="I401" s="1">
        <v>46021</v>
      </c>
      <c r="J401">
        <v>39</v>
      </c>
      <c r="K401">
        <v>10</v>
      </c>
      <c r="L401" t="s">
        <v>596</v>
      </c>
      <c r="M401" s="10" t="s">
        <v>19</v>
      </c>
      <c r="N401" s="3" t="str" cm="1">
        <f t="array" ref="N401">_xlfn.IFS(
OR(ISNUMBER(SEARCH("email",D401)),ISNUMBER(SEARCH("email",F401)),ISNUMBER(SEARCH("polish",D401)),ISNUMBER(SEARCH("rewrite",F401)),ISNUMBER(SEARCH("copy",F401))),"Writing and comms",
OR(ISNUMBER(SEARCH("research",F401)),ISNUMBER(SEARCH("intel",F401)),ISNUMBER(SEARCH("company",D401)),ISNUMBER(SEARCH("digger",D401))),"Research and intel",
OR(ISNUMBER(SEARCH("prompt",D401)),ISNUMBER(SEARCH("prompt",F401))),"Prompting help",
OR(ISNUMBER(SEARCH("role",D401)),ISNUMBER(SEARCH("scorecard",F401)),ISNUMBER(SEARCH("competenc",F401))),"Role and leadership advisory",
OR(ISNUMBER(SEARCH("meeting",F401)),ISNUMBER(SEARCH("notes",F401)),ISNUMBER(SEARCH("summary",F401))),"Meeting notes and summarization",
TRUE,"Other or fragmented"
)</f>
        <v>Prompting help</v>
      </c>
      <c r="O401" s="3" t="s">
        <v>20</v>
      </c>
      <c r="P401" s="3"/>
    </row>
    <row r="402" spans="1:16" x14ac:dyDescent="0.25">
      <c r="A402" t="s">
        <v>15</v>
      </c>
      <c r="B402" s="1">
        <v>45992</v>
      </c>
      <c r="C402" s="1">
        <v>46022</v>
      </c>
      <c r="D402" t="s">
        <v>597</v>
      </c>
      <c r="E402" t="s">
        <v>17</v>
      </c>
      <c r="F402" t="s">
        <v>598</v>
      </c>
      <c r="G402">
        <v>1</v>
      </c>
      <c r="H402" s="1">
        <v>46002</v>
      </c>
      <c r="I402" s="1">
        <v>46002</v>
      </c>
      <c r="J402">
        <v>1</v>
      </c>
      <c r="K402">
        <v>1</v>
      </c>
      <c r="L402" t="s">
        <v>596</v>
      </c>
      <c r="M402" s="9" t="s">
        <v>19</v>
      </c>
      <c r="N402" s="3" t="str" cm="1">
        <f t="array" ref="N402">_xlfn.IFS(
OR(ISNUMBER(SEARCH("email",D402)),ISNUMBER(SEARCH("email",F402)),ISNUMBER(SEARCH("polish",D402)),ISNUMBER(SEARCH("rewrite",F402)),ISNUMBER(SEARCH("copy",F402))),"Writing and comms",
OR(ISNUMBER(SEARCH("research",F402)),ISNUMBER(SEARCH("intel",F402)),ISNUMBER(SEARCH("company",D402)),ISNUMBER(SEARCH("digger",D402))),"Research and intel",
OR(ISNUMBER(SEARCH("prompt",D402)),ISNUMBER(SEARCH("prompt",F402))),"Prompting help",
OR(ISNUMBER(SEARCH("role",D402)),ISNUMBER(SEARCH("scorecard",F402)),ISNUMBER(SEARCH("competenc",F402))),"Role and leadership advisory",
OR(ISNUMBER(SEARCH("meeting",F402)),ISNUMBER(SEARCH("notes",F402)),ISNUMBER(SEARCH("summary",F402))),"Meeting notes and summarization",
TRUE,"Other or fragmented"
)</f>
        <v>Meeting notes and summarization</v>
      </c>
      <c r="O402" s="3" t="s">
        <v>20</v>
      </c>
      <c r="P402" s="3"/>
    </row>
    <row r="403" spans="1:16" x14ac:dyDescent="0.25">
      <c r="A403" t="s">
        <v>15</v>
      </c>
      <c r="B403" s="1">
        <v>45992</v>
      </c>
      <c r="C403" s="1">
        <v>46022</v>
      </c>
      <c r="D403" t="s">
        <v>599</v>
      </c>
      <c r="E403" t="s">
        <v>17</v>
      </c>
      <c r="F403" t="s">
        <v>222</v>
      </c>
      <c r="G403">
        <v>1</v>
      </c>
      <c r="H403" s="1">
        <v>46009</v>
      </c>
      <c r="I403" s="1">
        <v>46009</v>
      </c>
      <c r="J403">
        <v>2</v>
      </c>
      <c r="K403">
        <v>1</v>
      </c>
      <c r="L403" t="s">
        <v>596</v>
      </c>
      <c r="M403" s="10" t="s">
        <v>19</v>
      </c>
      <c r="N403" s="3" t="str" cm="1">
        <f t="array" ref="N403">_xlfn.IFS(
OR(ISNUMBER(SEARCH("email",D403)),ISNUMBER(SEARCH("email",F403)),ISNUMBER(SEARCH("polish",D403)),ISNUMBER(SEARCH("rewrite",F403)),ISNUMBER(SEARCH("copy",F403))),"Writing and comms",
OR(ISNUMBER(SEARCH("research",F403)),ISNUMBER(SEARCH("intel",F403)),ISNUMBER(SEARCH("company",D403)),ISNUMBER(SEARCH("digger",D403))),"Research and intel",
OR(ISNUMBER(SEARCH("prompt",D403)),ISNUMBER(SEARCH("prompt",F403))),"Prompting help",
OR(ISNUMBER(SEARCH("role",D403)),ISNUMBER(SEARCH("scorecard",F403)),ISNUMBER(SEARCH("competenc",F403))),"Role and leadership advisory",
OR(ISNUMBER(SEARCH("meeting",F403)),ISNUMBER(SEARCH("notes",F403)),ISNUMBER(SEARCH("summary",F403))),"Meeting notes and summarization",
TRUE,"Other or fragmented"
)</f>
        <v>Other or fragmented</v>
      </c>
      <c r="O403" s="3" t="s">
        <v>20</v>
      </c>
      <c r="P403" s="3"/>
    </row>
    <row r="404" spans="1:16" x14ac:dyDescent="0.25">
      <c r="A404" t="s">
        <v>15</v>
      </c>
      <c r="B404" s="1">
        <v>45992</v>
      </c>
      <c r="C404" s="1">
        <v>46022</v>
      </c>
      <c r="D404" t="s">
        <v>600</v>
      </c>
      <c r="E404" t="s">
        <v>17</v>
      </c>
      <c r="F404" t="s">
        <v>601</v>
      </c>
      <c r="G404">
        <v>1</v>
      </c>
      <c r="H404" s="1">
        <v>46009</v>
      </c>
      <c r="I404" s="1">
        <v>46010</v>
      </c>
      <c r="J404">
        <v>7</v>
      </c>
      <c r="K404">
        <v>1</v>
      </c>
      <c r="L404" t="s">
        <v>596</v>
      </c>
      <c r="M404" s="9" t="s">
        <v>19</v>
      </c>
      <c r="N404" s="3" t="str" cm="1">
        <f t="array" ref="N404">_xlfn.IFS(
OR(ISNUMBER(SEARCH("email",D404)),ISNUMBER(SEARCH("email",F404)),ISNUMBER(SEARCH("polish",D404)),ISNUMBER(SEARCH("rewrite",F404)),ISNUMBER(SEARCH("copy",F404))),"Writing and comms",
OR(ISNUMBER(SEARCH("research",F404)),ISNUMBER(SEARCH("intel",F404)),ISNUMBER(SEARCH("company",D404)),ISNUMBER(SEARCH("digger",D404))),"Research and intel",
OR(ISNUMBER(SEARCH("prompt",D404)),ISNUMBER(SEARCH("prompt",F404))),"Prompting help",
OR(ISNUMBER(SEARCH("role",D404)),ISNUMBER(SEARCH("scorecard",F404)),ISNUMBER(SEARCH("competenc",F404))),"Role and leadership advisory",
OR(ISNUMBER(SEARCH("meeting",F404)),ISNUMBER(SEARCH("notes",F404)),ISNUMBER(SEARCH("summary",F404))),"Meeting notes and summarization",
TRUE,"Other or fragmented"
)</f>
        <v>Writing and comms</v>
      </c>
      <c r="O404" s="3" t="s">
        <v>20</v>
      </c>
      <c r="P404" s="3"/>
    </row>
    <row r="405" spans="1:16" x14ac:dyDescent="0.25">
      <c r="A405" t="s">
        <v>15</v>
      </c>
      <c r="B405" s="1">
        <v>45992</v>
      </c>
      <c r="C405" s="1">
        <v>46022</v>
      </c>
      <c r="D405" t="s">
        <v>602</v>
      </c>
      <c r="E405" t="s">
        <v>17</v>
      </c>
      <c r="F405" t="s">
        <v>603</v>
      </c>
      <c r="G405">
        <v>1</v>
      </c>
      <c r="H405" s="1">
        <v>46008</v>
      </c>
      <c r="I405" s="1">
        <v>46010</v>
      </c>
      <c r="J405">
        <v>8</v>
      </c>
      <c r="K405">
        <v>1</v>
      </c>
      <c r="L405" t="s">
        <v>596</v>
      </c>
      <c r="M405" s="10" t="s">
        <v>19</v>
      </c>
      <c r="N405" s="3" t="str" cm="1">
        <f t="array" ref="N405">_xlfn.IFS(
OR(ISNUMBER(SEARCH("email",D405)),ISNUMBER(SEARCH("email",F405)),ISNUMBER(SEARCH("polish",D405)),ISNUMBER(SEARCH("rewrite",F405)),ISNUMBER(SEARCH("copy",F405))),"Writing and comms",
OR(ISNUMBER(SEARCH("research",F405)),ISNUMBER(SEARCH("intel",F405)),ISNUMBER(SEARCH("company",D405)),ISNUMBER(SEARCH("digger",D405))),"Research and intel",
OR(ISNUMBER(SEARCH("prompt",D405)),ISNUMBER(SEARCH("prompt",F405))),"Prompting help",
OR(ISNUMBER(SEARCH("role",D405)),ISNUMBER(SEARCH("scorecard",F405)),ISNUMBER(SEARCH("competenc",F405))),"Role and leadership advisory",
OR(ISNUMBER(SEARCH("meeting",F405)),ISNUMBER(SEARCH("notes",F405)),ISNUMBER(SEARCH("summary",F405))),"Meeting notes and summarization",
TRUE,"Other or fragmented"
)</f>
        <v>Writing and comms</v>
      </c>
      <c r="O405" s="3" t="s">
        <v>20</v>
      </c>
      <c r="P405" s="3"/>
    </row>
    <row r="406" spans="1:16" x14ac:dyDescent="0.25">
      <c r="A406" t="s">
        <v>15</v>
      </c>
      <c r="B406" s="1">
        <v>45992</v>
      </c>
      <c r="C406" s="1">
        <v>46022</v>
      </c>
      <c r="D406" t="s">
        <v>604</v>
      </c>
      <c r="E406" t="s">
        <v>17</v>
      </c>
      <c r="F406" t="s">
        <v>605</v>
      </c>
      <c r="G406">
        <v>0</v>
      </c>
      <c r="J406">
        <v>0</v>
      </c>
      <c r="K406">
        <v>0</v>
      </c>
      <c r="L406" t="s">
        <v>596</v>
      </c>
      <c r="M406" s="9" t="s">
        <v>19</v>
      </c>
      <c r="N406" s="3" t="str" cm="1">
        <f t="array" ref="N406">_xlfn.IFS(
OR(ISNUMBER(SEARCH("email",D406)),ISNUMBER(SEARCH("email",F406)),ISNUMBER(SEARCH("polish",D406)),ISNUMBER(SEARCH("rewrite",F406)),ISNUMBER(SEARCH("copy",F406))),"Writing and comms",
OR(ISNUMBER(SEARCH("research",F406)),ISNUMBER(SEARCH("intel",F406)),ISNUMBER(SEARCH("company",D406)),ISNUMBER(SEARCH("digger",D406))),"Research and intel",
OR(ISNUMBER(SEARCH("prompt",D406)),ISNUMBER(SEARCH("prompt",F406))),"Prompting help",
OR(ISNUMBER(SEARCH("role",D406)),ISNUMBER(SEARCH("scorecard",F406)),ISNUMBER(SEARCH("competenc",F406))),"Role and leadership advisory",
OR(ISNUMBER(SEARCH("meeting",F406)),ISNUMBER(SEARCH("notes",F406)),ISNUMBER(SEARCH("summary",F406))),"Meeting notes and summarization",
TRUE,"Other or fragmented"
)</f>
        <v>Prompting help</v>
      </c>
      <c r="O406" s="3" t="s">
        <v>20</v>
      </c>
      <c r="P406" s="3"/>
    </row>
    <row r="407" spans="1:16" x14ac:dyDescent="0.25">
      <c r="A407" t="s">
        <v>15</v>
      </c>
      <c r="B407" s="1">
        <v>45992</v>
      </c>
      <c r="C407" s="1">
        <v>46022</v>
      </c>
      <c r="D407" t="s">
        <v>606</v>
      </c>
      <c r="E407" t="s">
        <v>24</v>
      </c>
      <c r="G407">
        <v>0</v>
      </c>
      <c r="J407">
        <v>0</v>
      </c>
      <c r="K407">
        <v>0</v>
      </c>
      <c r="L407" t="s">
        <v>596</v>
      </c>
      <c r="M407" s="10" t="s">
        <v>19</v>
      </c>
      <c r="N407" s="3" t="str" cm="1">
        <f t="array" ref="N407">_xlfn.IFS(
OR(ISNUMBER(SEARCH("email",D407)),ISNUMBER(SEARCH("email",F407)),ISNUMBER(SEARCH("polish",D407)),ISNUMBER(SEARCH("rewrite",F407)),ISNUMBER(SEARCH("copy",F407))),"Writing and comms",
OR(ISNUMBER(SEARCH("research",F407)),ISNUMBER(SEARCH("intel",F407)),ISNUMBER(SEARCH("company",D407)),ISNUMBER(SEARCH("digger",D407))),"Research and intel",
OR(ISNUMBER(SEARCH("prompt",D407)),ISNUMBER(SEARCH("prompt",F407))),"Prompting help",
OR(ISNUMBER(SEARCH("role",D407)),ISNUMBER(SEARCH("scorecard",F407)),ISNUMBER(SEARCH("competenc",F407))),"Role and leadership advisory",
OR(ISNUMBER(SEARCH("meeting",F407)),ISNUMBER(SEARCH("notes",F407)),ISNUMBER(SEARCH("summary",F407))),"Meeting notes and summarization",
TRUE,"Other or fragmented"
)</f>
        <v>Writing and comms</v>
      </c>
      <c r="O407" s="3" t="s">
        <v>20</v>
      </c>
      <c r="P407" s="3"/>
    </row>
    <row r="408" spans="1:16" x14ac:dyDescent="0.25">
      <c r="A408" t="s">
        <v>15</v>
      </c>
      <c r="B408" s="1">
        <v>45992</v>
      </c>
      <c r="C408" s="1">
        <v>46022</v>
      </c>
      <c r="D408" t="s">
        <v>607</v>
      </c>
      <c r="E408" t="s">
        <v>17</v>
      </c>
      <c r="F408" t="s">
        <v>487</v>
      </c>
      <c r="G408">
        <v>0</v>
      </c>
      <c r="J408">
        <v>0</v>
      </c>
      <c r="K408">
        <v>0</v>
      </c>
      <c r="L408" t="s">
        <v>596</v>
      </c>
      <c r="M408" s="9" t="s">
        <v>19</v>
      </c>
      <c r="N408" s="3" t="str" cm="1">
        <f t="array" ref="N408">_xlfn.IFS(
OR(ISNUMBER(SEARCH("email",D408)),ISNUMBER(SEARCH("email",F408)),ISNUMBER(SEARCH("polish",D408)),ISNUMBER(SEARCH("rewrite",F408)),ISNUMBER(SEARCH("copy",F408))),"Writing and comms",
OR(ISNUMBER(SEARCH("research",F408)),ISNUMBER(SEARCH("intel",F408)),ISNUMBER(SEARCH("company",D408)),ISNUMBER(SEARCH("digger",D408))),"Research and intel",
OR(ISNUMBER(SEARCH("prompt",D408)),ISNUMBER(SEARCH("prompt",F408))),"Prompting help",
OR(ISNUMBER(SEARCH("role",D408)),ISNUMBER(SEARCH("scorecard",F408)),ISNUMBER(SEARCH("competenc",F408))),"Role and leadership advisory",
OR(ISNUMBER(SEARCH("meeting",F408)),ISNUMBER(SEARCH("notes",F408)),ISNUMBER(SEARCH("summary",F408))),"Meeting notes and summarization",
TRUE,"Other or fragmented"
)</f>
        <v>Writing and comms</v>
      </c>
      <c r="O408" s="3" t="s">
        <v>20</v>
      </c>
      <c r="P408" s="3"/>
    </row>
    <row r="409" spans="1:16" x14ac:dyDescent="0.25">
      <c r="A409" t="s">
        <v>15</v>
      </c>
      <c r="B409" s="1">
        <v>45992</v>
      </c>
      <c r="C409" s="1">
        <v>46022</v>
      </c>
      <c r="D409" t="s">
        <v>608</v>
      </c>
      <c r="E409" t="s">
        <v>17</v>
      </c>
      <c r="F409" t="s">
        <v>609</v>
      </c>
      <c r="G409">
        <v>0</v>
      </c>
      <c r="J409">
        <v>0</v>
      </c>
      <c r="K409">
        <v>0</v>
      </c>
      <c r="L409" t="s">
        <v>596</v>
      </c>
      <c r="M409" s="10" t="s">
        <v>19</v>
      </c>
      <c r="N409" s="3" t="str" cm="1">
        <f t="array" ref="N409">_xlfn.IFS(
OR(ISNUMBER(SEARCH("email",D409)),ISNUMBER(SEARCH("email",F409)),ISNUMBER(SEARCH("polish",D409)),ISNUMBER(SEARCH("rewrite",F409)),ISNUMBER(SEARCH("copy",F409))),"Writing and comms",
OR(ISNUMBER(SEARCH("research",F409)),ISNUMBER(SEARCH("intel",F409)),ISNUMBER(SEARCH("company",D409)),ISNUMBER(SEARCH("digger",D409))),"Research and intel",
OR(ISNUMBER(SEARCH("prompt",D409)),ISNUMBER(SEARCH("prompt",F409))),"Prompting help",
OR(ISNUMBER(SEARCH("role",D409)),ISNUMBER(SEARCH("scorecard",F409)),ISNUMBER(SEARCH("competenc",F409))),"Role and leadership advisory",
OR(ISNUMBER(SEARCH("meeting",F409)),ISNUMBER(SEARCH("notes",F409)),ISNUMBER(SEARCH("summary",F409))),"Meeting notes and summarization",
TRUE,"Other or fragmented"
)</f>
        <v>Other or fragmented</v>
      </c>
      <c r="O409" s="3" t="s">
        <v>20</v>
      </c>
      <c r="P409" s="3"/>
    </row>
    <row r="410" spans="1:16" x14ac:dyDescent="0.25">
      <c r="A410" t="s">
        <v>15</v>
      </c>
      <c r="B410" s="1">
        <v>45992</v>
      </c>
      <c r="C410" s="1">
        <v>46022</v>
      </c>
      <c r="D410" t="s">
        <v>610</v>
      </c>
      <c r="E410" t="s">
        <v>17</v>
      </c>
      <c r="F410" t="s">
        <v>611</v>
      </c>
      <c r="G410">
        <v>0</v>
      </c>
      <c r="J410">
        <v>0</v>
      </c>
      <c r="K410">
        <v>0</v>
      </c>
      <c r="L410" t="s">
        <v>596</v>
      </c>
      <c r="M410" s="9" t="s">
        <v>19</v>
      </c>
      <c r="N410" s="3" t="str" cm="1">
        <f t="array" ref="N410">_xlfn.IFS(
OR(ISNUMBER(SEARCH("email",D410)),ISNUMBER(SEARCH("email",F410)),ISNUMBER(SEARCH("polish",D410)),ISNUMBER(SEARCH("rewrite",F410)),ISNUMBER(SEARCH("copy",F410))),"Writing and comms",
OR(ISNUMBER(SEARCH("research",F410)),ISNUMBER(SEARCH("intel",F410)),ISNUMBER(SEARCH("company",D410)),ISNUMBER(SEARCH("digger",D410))),"Research and intel",
OR(ISNUMBER(SEARCH("prompt",D410)),ISNUMBER(SEARCH("prompt",F410))),"Prompting help",
OR(ISNUMBER(SEARCH("role",D410)),ISNUMBER(SEARCH("scorecard",F410)),ISNUMBER(SEARCH("competenc",F410))),"Role and leadership advisory",
OR(ISNUMBER(SEARCH("meeting",F410)),ISNUMBER(SEARCH("notes",F410)),ISNUMBER(SEARCH("summary",F410))),"Meeting notes and summarization",
TRUE,"Other or fragmented"
)</f>
        <v>Other or fragmented</v>
      </c>
      <c r="O410" s="3" t="s">
        <v>20</v>
      </c>
      <c r="P410" s="3"/>
    </row>
    <row r="411" spans="1:16" x14ac:dyDescent="0.25">
      <c r="A411" t="s">
        <v>15</v>
      </c>
      <c r="B411" s="1">
        <v>45992</v>
      </c>
      <c r="C411" s="1">
        <v>46022</v>
      </c>
      <c r="D411" t="s">
        <v>612</v>
      </c>
      <c r="E411" t="s">
        <v>24</v>
      </c>
      <c r="F411" t="s">
        <v>613</v>
      </c>
      <c r="G411">
        <v>0</v>
      </c>
      <c r="J411">
        <v>0</v>
      </c>
      <c r="K411">
        <v>0</v>
      </c>
      <c r="L411" t="s">
        <v>596</v>
      </c>
      <c r="M411" s="10" t="s">
        <v>19</v>
      </c>
      <c r="N411" s="3" t="str" cm="1">
        <f t="array" ref="N411">_xlfn.IFS(
OR(ISNUMBER(SEARCH("email",D411)),ISNUMBER(SEARCH("email",F411)),ISNUMBER(SEARCH("polish",D411)),ISNUMBER(SEARCH("rewrite",F411)),ISNUMBER(SEARCH("copy",F411))),"Writing and comms",
OR(ISNUMBER(SEARCH("research",F411)),ISNUMBER(SEARCH("intel",F411)),ISNUMBER(SEARCH("company",D411)),ISNUMBER(SEARCH("digger",D411))),"Research and intel",
OR(ISNUMBER(SEARCH("prompt",D411)),ISNUMBER(SEARCH("prompt",F411))),"Prompting help",
OR(ISNUMBER(SEARCH("role",D411)),ISNUMBER(SEARCH("scorecard",F411)),ISNUMBER(SEARCH("competenc",F411))),"Role and leadership advisory",
OR(ISNUMBER(SEARCH("meeting",F411)),ISNUMBER(SEARCH("notes",F411)),ISNUMBER(SEARCH("summary",F411))),"Meeting notes and summarization",
TRUE,"Other or fragmented"
)</f>
        <v>Other or fragmented</v>
      </c>
      <c r="O411" s="3" t="s">
        <v>20</v>
      </c>
      <c r="P411" s="3"/>
    </row>
    <row r="412" spans="1:16" x14ac:dyDescent="0.25">
      <c r="A412" t="s">
        <v>15</v>
      </c>
      <c r="B412" s="1">
        <v>45992</v>
      </c>
      <c r="C412" s="1">
        <v>46022</v>
      </c>
      <c r="D412" t="s">
        <v>614</v>
      </c>
      <c r="E412" t="s">
        <v>24</v>
      </c>
      <c r="F412" t="s">
        <v>615</v>
      </c>
      <c r="G412">
        <v>0</v>
      </c>
      <c r="J412">
        <v>0</v>
      </c>
      <c r="K412">
        <v>0</v>
      </c>
      <c r="L412" t="s">
        <v>596</v>
      </c>
      <c r="M412" s="9" t="s">
        <v>19</v>
      </c>
      <c r="N412" s="3" t="str" cm="1">
        <f t="array" ref="N412">_xlfn.IFS(
OR(ISNUMBER(SEARCH("email",D412)),ISNUMBER(SEARCH("email",F412)),ISNUMBER(SEARCH("polish",D412)),ISNUMBER(SEARCH("rewrite",F412)),ISNUMBER(SEARCH("copy",F412))),"Writing and comms",
OR(ISNUMBER(SEARCH("research",F412)),ISNUMBER(SEARCH("intel",F412)),ISNUMBER(SEARCH("company",D412)),ISNUMBER(SEARCH("digger",D412))),"Research and intel",
OR(ISNUMBER(SEARCH("prompt",D412)),ISNUMBER(SEARCH("prompt",F412))),"Prompting help",
OR(ISNUMBER(SEARCH("role",D412)),ISNUMBER(SEARCH("scorecard",F412)),ISNUMBER(SEARCH("competenc",F412))),"Role and leadership advisory",
OR(ISNUMBER(SEARCH("meeting",F412)),ISNUMBER(SEARCH("notes",F412)),ISNUMBER(SEARCH("summary",F412))),"Meeting notes and summarization",
TRUE,"Other or fragmented"
)</f>
        <v>Meeting notes and summarization</v>
      </c>
      <c r="O412" s="3" t="s">
        <v>20</v>
      </c>
      <c r="P412" s="3"/>
    </row>
    <row r="413" spans="1:16" x14ac:dyDescent="0.25">
      <c r="A413" t="s">
        <v>15</v>
      </c>
      <c r="B413" s="1">
        <v>45992</v>
      </c>
      <c r="C413" s="1">
        <v>46022</v>
      </c>
      <c r="D413" t="s">
        <v>616</v>
      </c>
      <c r="E413" t="s">
        <v>17</v>
      </c>
      <c r="F413" t="s">
        <v>603</v>
      </c>
      <c r="G413">
        <v>0</v>
      </c>
      <c r="J413">
        <v>0</v>
      </c>
      <c r="K413">
        <v>0</v>
      </c>
      <c r="L413" t="s">
        <v>596</v>
      </c>
      <c r="M413" s="10" t="s">
        <v>19</v>
      </c>
      <c r="N413" s="3" t="str" cm="1">
        <f t="array" ref="N413">_xlfn.IFS(
OR(ISNUMBER(SEARCH("email",D413)),ISNUMBER(SEARCH("email",F413)),ISNUMBER(SEARCH("polish",D413)),ISNUMBER(SEARCH("rewrite",F413)),ISNUMBER(SEARCH("copy",F413))),"Writing and comms",
OR(ISNUMBER(SEARCH("research",F413)),ISNUMBER(SEARCH("intel",F413)),ISNUMBER(SEARCH("company",D413)),ISNUMBER(SEARCH("digger",D413))),"Research and intel",
OR(ISNUMBER(SEARCH("prompt",D413)),ISNUMBER(SEARCH("prompt",F413))),"Prompting help",
OR(ISNUMBER(SEARCH("role",D413)),ISNUMBER(SEARCH("scorecard",F413)),ISNUMBER(SEARCH("competenc",F413))),"Role and leadership advisory",
OR(ISNUMBER(SEARCH("meeting",F413)),ISNUMBER(SEARCH("notes",F413)),ISNUMBER(SEARCH("summary",F413))),"Meeting notes and summarization",
TRUE,"Other or fragmented"
)</f>
        <v>Writing and comms</v>
      </c>
      <c r="O413" s="3" t="s">
        <v>20</v>
      </c>
      <c r="P413" s="3"/>
    </row>
    <row r="414" spans="1:16" x14ac:dyDescent="0.25">
      <c r="A414" t="s">
        <v>15</v>
      </c>
      <c r="B414" s="1">
        <v>45992</v>
      </c>
      <c r="C414" s="1">
        <v>46022</v>
      </c>
      <c r="D414" t="s">
        <v>617</v>
      </c>
      <c r="E414" t="s">
        <v>17</v>
      </c>
      <c r="F414" t="s">
        <v>618</v>
      </c>
      <c r="G414">
        <v>0</v>
      </c>
      <c r="J414">
        <v>0</v>
      </c>
      <c r="K414">
        <v>0</v>
      </c>
      <c r="L414" t="s">
        <v>596</v>
      </c>
      <c r="M414" s="9" t="s">
        <v>19</v>
      </c>
      <c r="N414" s="3" t="str" cm="1">
        <f t="array" ref="N414">_xlfn.IFS(
OR(ISNUMBER(SEARCH("email",D414)),ISNUMBER(SEARCH("email",F414)),ISNUMBER(SEARCH("polish",D414)),ISNUMBER(SEARCH("rewrite",F414)),ISNUMBER(SEARCH("copy",F414))),"Writing and comms",
OR(ISNUMBER(SEARCH("research",F414)),ISNUMBER(SEARCH("intel",F414)),ISNUMBER(SEARCH("company",D414)),ISNUMBER(SEARCH("digger",D414))),"Research and intel",
OR(ISNUMBER(SEARCH("prompt",D414)),ISNUMBER(SEARCH("prompt",F414))),"Prompting help",
OR(ISNUMBER(SEARCH("role",D414)),ISNUMBER(SEARCH("scorecard",F414)),ISNUMBER(SEARCH("competenc",F414))),"Role and leadership advisory",
OR(ISNUMBER(SEARCH("meeting",F414)),ISNUMBER(SEARCH("notes",F414)),ISNUMBER(SEARCH("summary",F414))),"Meeting notes and summarization",
TRUE,"Other or fragmented"
)</f>
        <v>Writing and comms</v>
      </c>
      <c r="O414" s="3" t="s">
        <v>20</v>
      </c>
      <c r="P414" s="3"/>
    </row>
    <row r="415" spans="1:16" x14ac:dyDescent="0.25">
      <c r="A415" t="s">
        <v>15</v>
      </c>
      <c r="B415" s="1">
        <v>45992</v>
      </c>
      <c r="C415" s="1">
        <v>46022</v>
      </c>
      <c r="E415" t="s">
        <v>24</v>
      </c>
      <c r="G415">
        <v>0</v>
      </c>
      <c r="J415">
        <v>0</v>
      </c>
      <c r="K415">
        <v>0</v>
      </c>
      <c r="L415" t="s">
        <v>596</v>
      </c>
      <c r="M415" s="10" t="s">
        <v>19</v>
      </c>
      <c r="N415" s="3" t="str" cm="1">
        <f t="array" ref="N415">_xlfn.IFS(
OR(ISNUMBER(SEARCH("email",D415)),ISNUMBER(SEARCH("email",F415)),ISNUMBER(SEARCH("polish",D415)),ISNUMBER(SEARCH("rewrite",F415)),ISNUMBER(SEARCH("copy",F415))),"Writing and comms",
OR(ISNUMBER(SEARCH("research",F415)),ISNUMBER(SEARCH("intel",F415)),ISNUMBER(SEARCH("company",D415)),ISNUMBER(SEARCH("digger",D415))),"Research and intel",
OR(ISNUMBER(SEARCH("prompt",D415)),ISNUMBER(SEARCH("prompt",F415))),"Prompting help",
OR(ISNUMBER(SEARCH("role",D415)),ISNUMBER(SEARCH("scorecard",F415)),ISNUMBER(SEARCH("competenc",F415))),"Role and leadership advisory",
OR(ISNUMBER(SEARCH("meeting",F415)),ISNUMBER(SEARCH("notes",F415)),ISNUMBER(SEARCH("summary",F415))),"Meeting notes and summarization",
TRUE,"Other or fragmented"
)</f>
        <v>Other or fragmented</v>
      </c>
      <c r="O415" s="3" t="s">
        <v>20</v>
      </c>
      <c r="P415" s="3"/>
    </row>
    <row r="416" spans="1:16" x14ac:dyDescent="0.25">
      <c r="A416" t="s">
        <v>15</v>
      </c>
      <c r="B416" s="1">
        <v>45992</v>
      </c>
      <c r="C416" s="1">
        <v>46022</v>
      </c>
      <c r="D416" t="s">
        <v>619</v>
      </c>
      <c r="E416" t="s">
        <v>17</v>
      </c>
      <c r="F416" t="s">
        <v>620</v>
      </c>
      <c r="G416">
        <v>0</v>
      </c>
      <c r="J416">
        <v>0</v>
      </c>
      <c r="K416">
        <v>0</v>
      </c>
      <c r="L416" t="s">
        <v>596</v>
      </c>
      <c r="M416" s="9" t="s">
        <v>19</v>
      </c>
      <c r="N416" s="3" t="str" cm="1">
        <f t="array" ref="N416">_xlfn.IFS(
OR(ISNUMBER(SEARCH("email",D416)),ISNUMBER(SEARCH("email",F416)),ISNUMBER(SEARCH("polish",D416)),ISNUMBER(SEARCH("rewrite",F416)),ISNUMBER(SEARCH("copy",F416))),"Writing and comms",
OR(ISNUMBER(SEARCH("research",F416)),ISNUMBER(SEARCH("intel",F416)),ISNUMBER(SEARCH("company",D416)),ISNUMBER(SEARCH("digger",D416))),"Research and intel",
OR(ISNUMBER(SEARCH("prompt",D416)),ISNUMBER(SEARCH("prompt",F416))),"Prompting help",
OR(ISNUMBER(SEARCH("role",D416)),ISNUMBER(SEARCH("scorecard",F416)),ISNUMBER(SEARCH("competenc",F416))),"Role and leadership advisory",
OR(ISNUMBER(SEARCH("meeting",F416)),ISNUMBER(SEARCH("notes",F416)),ISNUMBER(SEARCH("summary",F416))),"Meeting notes and summarization",
TRUE,"Other or fragmented"
)</f>
        <v>Writing and comms</v>
      </c>
      <c r="O416" s="3" t="s">
        <v>20</v>
      </c>
      <c r="P416" s="3"/>
    </row>
    <row r="417" spans="1:16" x14ac:dyDescent="0.25">
      <c r="A417" t="s">
        <v>15</v>
      </c>
      <c r="B417" s="1">
        <v>45992</v>
      </c>
      <c r="C417" s="1">
        <v>46022</v>
      </c>
      <c r="D417" t="s">
        <v>621</v>
      </c>
      <c r="E417" t="s">
        <v>17</v>
      </c>
      <c r="F417" t="s">
        <v>622</v>
      </c>
      <c r="G417">
        <v>0</v>
      </c>
      <c r="J417">
        <v>0</v>
      </c>
      <c r="K417">
        <v>0</v>
      </c>
      <c r="L417" t="s">
        <v>596</v>
      </c>
      <c r="M417" s="10" t="s">
        <v>19</v>
      </c>
      <c r="N417" s="3" t="str" cm="1">
        <f t="array" ref="N417">_xlfn.IFS(
OR(ISNUMBER(SEARCH("email",D417)),ISNUMBER(SEARCH("email",F417)),ISNUMBER(SEARCH("polish",D417)),ISNUMBER(SEARCH("rewrite",F417)),ISNUMBER(SEARCH("copy",F417))),"Writing and comms",
OR(ISNUMBER(SEARCH("research",F417)),ISNUMBER(SEARCH("intel",F417)),ISNUMBER(SEARCH("company",D417)),ISNUMBER(SEARCH("digger",D417))),"Research and intel",
OR(ISNUMBER(SEARCH("prompt",D417)),ISNUMBER(SEARCH("prompt",F417))),"Prompting help",
OR(ISNUMBER(SEARCH("role",D417)),ISNUMBER(SEARCH("scorecard",F417)),ISNUMBER(SEARCH("competenc",F417))),"Role and leadership advisory",
OR(ISNUMBER(SEARCH("meeting",F417)),ISNUMBER(SEARCH("notes",F417)),ISNUMBER(SEARCH("summary",F417))),"Meeting notes and summarization",
TRUE,"Other or fragmented"
)</f>
        <v>Meeting notes and summarization</v>
      </c>
      <c r="O417" s="3" t="s">
        <v>20</v>
      </c>
      <c r="P417" s="3"/>
    </row>
    <row r="418" spans="1:16" x14ac:dyDescent="0.25">
      <c r="A418" t="s">
        <v>15</v>
      </c>
      <c r="B418" s="1">
        <v>45992</v>
      </c>
      <c r="C418" s="1">
        <v>46022</v>
      </c>
      <c r="D418" t="s">
        <v>623</v>
      </c>
      <c r="E418" t="s">
        <v>17</v>
      </c>
      <c r="F418" t="s">
        <v>624</v>
      </c>
      <c r="G418">
        <v>0</v>
      </c>
      <c r="J418">
        <v>0</v>
      </c>
      <c r="K418">
        <v>0</v>
      </c>
      <c r="L418" t="s">
        <v>596</v>
      </c>
      <c r="M418" s="9" t="s">
        <v>19</v>
      </c>
      <c r="N418" s="3" t="str" cm="1">
        <f t="array" ref="N418">_xlfn.IFS(
OR(ISNUMBER(SEARCH("email",D418)),ISNUMBER(SEARCH("email",F418)),ISNUMBER(SEARCH("polish",D418)),ISNUMBER(SEARCH("rewrite",F418)),ISNUMBER(SEARCH("copy",F418))),"Writing and comms",
OR(ISNUMBER(SEARCH("research",F418)),ISNUMBER(SEARCH("intel",F418)),ISNUMBER(SEARCH("company",D418)),ISNUMBER(SEARCH("digger",D418))),"Research and intel",
OR(ISNUMBER(SEARCH("prompt",D418)),ISNUMBER(SEARCH("prompt",F418))),"Prompting help",
OR(ISNUMBER(SEARCH("role",D418)),ISNUMBER(SEARCH("scorecard",F418)),ISNUMBER(SEARCH("competenc",F418))),"Role and leadership advisory",
OR(ISNUMBER(SEARCH("meeting",F418)),ISNUMBER(SEARCH("notes",F418)),ISNUMBER(SEARCH("summary",F418))),"Meeting notes and summarization",
TRUE,"Other or fragmented"
)</f>
        <v>Other or fragmented</v>
      </c>
      <c r="O418" s="3" t="s">
        <v>20</v>
      </c>
      <c r="P418" s="3"/>
    </row>
    <row r="419" spans="1:16" x14ac:dyDescent="0.25">
      <c r="A419" t="s">
        <v>15</v>
      </c>
      <c r="B419" s="1">
        <v>45992</v>
      </c>
      <c r="C419" s="1">
        <v>46022</v>
      </c>
      <c r="E419" t="s">
        <v>24</v>
      </c>
      <c r="G419">
        <v>0</v>
      </c>
      <c r="J419">
        <v>0</v>
      </c>
      <c r="K419">
        <v>0</v>
      </c>
      <c r="L419" t="s">
        <v>625</v>
      </c>
      <c r="M419" s="10" t="s">
        <v>19</v>
      </c>
      <c r="N419" s="3" t="str" cm="1">
        <f t="array" ref="N419">_xlfn.IFS(
OR(ISNUMBER(SEARCH("email",D419)),ISNUMBER(SEARCH("email",F419)),ISNUMBER(SEARCH("polish",D419)),ISNUMBER(SEARCH("rewrite",F419)),ISNUMBER(SEARCH("copy",F419))),"Writing and comms",
OR(ISNUMBER(SEARCH("research",F419)),ISNUMBER(SEARCH("intel",F419)),ISNUMBER(SEARCH("company",D419)),ISNUMBER(SEARCH("digger",D419))),"Research and intel",
OR(ISNUMBER(SEARCH("prompt",D419)),ISNUMBER(SEARCH("prompt",F419))),"Prompting help",
OR(ISNUMBER(SEARCH("role",D419)),ISNUMBER(SEARCH("scorecard",F419)),ISNUMBER(SEARCH("competenc",F419))),"Role and leadership advisory",
OR(ISNUMBER(SEARCH("meeting",F419)),ISNUMBER(SEARCH("notes",F419)),ISNUMBER(SEARCH("summary",F419))),"Meeting notes and summarization",
TRUE,"Other or fragmented"
)</f>
        <v>Other or fragmented</v>
      </c>
      <c r="O419" s="3" t="s">
        <v>20</v>
      </c>
      <c r="P419" s="3"/>
    </row>
    <row r="420" spans="1:16" x14ac:dyDescent="0.25">
      <c r="A420" t="s">
        <v>15</v>
      </c>
      <c r="B420" s="1">
        <v>45992</v>
      </c>
      <c r="C420" s="1">
        <v>46022</v>
      </c>
      <c r="E420" t="s">
        <v>24</v>
      </c>
      <c r="F420" t="s">
        <v>626</v>
      </c>
      <c r="G420">
        <v>1</v>
      </c>
      <c r="H420" s="1">
        <v>46020</v>
      </c>
      <c r="I420" s="1">
        <v>46020</v>
      </c>
      <c r="J420">
        <v>2</v>
      </c>
      <c r="K420">
        <v>1</v>
      </c>
      <c r="L420" t="s">
        <v>627</v>
      </c>
      <c r="M420" s="9" t="s">
        <v>19</v>
      </c>
      <c r="N420" s="3" t="str" cm="1">
        <f t="array" ref="N420">_xlfn.IFS(
OR(ISNUMBER(SEARCH("email",D420)),ISNUMBER(SEARCH("email",F420)),ISNUMBER(SEARCH("polish",D420)),ISNUMBER(SEARCH("rewrite",F420)),ISNUMBER(SEARCH("copy",F420))),"Writing and comms",
OR(ISNUMBER(SEARCH("research",F420)),ISNUMBER(SEARCH("intel",F420)),ISNUMBER(SEARCH("company",D420)),ISNUMBER(SEARCH("digger",D420))),"Research and intel",
OR(ISNUMBER(SEARCH("prompt",D420)),ISNUMBER(SEARCH("prompt",F420))),"Prompting help",
OR(ISNUMBER(SEARCH("role",D420)),ISNUMBER(SEARCH("scorecard",F420)),ISNUMBER(SEARCH("competenc",F420))),"Role and leadership advisory",
OR(ISNUMBER(SEARCH("meeting",F420)),ISNUMBER(SEARCH("notes",F420)),ISNUMBER(SEARCH("summary",F420))),"Meeting notes and summarization",
TRUE,"Other or fragmented"
)</f>
        <v>Other or fragmented</v>
      </c>
      <c r="O420" s="3" t="s">
        <v>20</v>
      </c>
      <c r="P420" s="3"/>
    </row>
    <row r="421" spans="1:16" x14ac:dyDescent="0.25">
      <c r="A421" t="s">
        <v>15</v>
      </c>
      <c r="B421" s="1">
        <v>45992</v>
      </c>
      <c r="C421" s="1">
        <v>46022</v>
      </c>
      <c r="D421" t="s">
        <v>628</v>
      </c>
      <c r="E421" t="s">
        <v>24</v>
      </c>
      <c r="F421" t="s">
        <v>629</v>
      </c>
      <c r="G421">
        <v>1</v>
      </c>
      <c r="H421" s="1">
        <v>46020</v>
      </c>
      <c r="I421" s="1">
        <v>46020</v>
      </c>
      <c r="J421">
        <v>7</v>
      </c>
      <c r="K421">
        <v>1</v>
      </c>
      <c r="L421" t="s">
        <v>627</v>
      </c>
      <c r="M421" s="10" t="s">
        <v>19</v>
      </c>
      <c r="N421" s="3" t="str" cm="1">
        <f t="array" ref="N421">_xlfn.IFS(
OR(ISNUMBER(SEARCH("email",D421)),ISNUMBER(SEARCH("email",F421)),ISNUMBER(SEARCH("polish",D421)),ISNUMBER(SEARCH("rewrite",F421)),ISNUMBER(SEARCH("copy",F421))),"Writing and comms",
OR(ISNUMBER(SEARCH("research",F421)),ISNUMBER(SEARCH("intel",F421)),ISNUMBER(SEARCH("company",D421)),ISNUMBER(SEARCH("digger",D421))),"Research and intel",
OR(ISNUMBER(SEARCH("prompt",D421)),ISNUMBER(SEARCH("prompt",F421))),"Prompting help",
OR(ISNUMBER(SEARCH("role",D421)),ISNUMBER(SEARCH("scorecard",F421)),ISNUMBER(SEARCH("competenc",F421))),"Role and leadership advisory",
OR(ISNUMBER(SEARCH("meeting",F421)),ISNUMBER(SEARCH("notes",F421)),ISNUMBER(SEARCH("summary",F421))),"Meeting notes and summarization",
TRUE,"Other or fragmented"
)</f>
        <v>Meeting notes and summarization</v>
      </c>
      <c r="O421" s="3" t="s">
        <v>20</v>
      </c>
      <c r="P421" s="3"/>
    </row>
    <row r="422" spans="1:16" x14ac:dyDescent="0.25">
      <c r="A422" t="s">
        <v>15</v>
      </c>
      <c r="B422" s="1">
        <v>45992</v>
      </c>
      <c r="C422" s="1">
        <v>46022</v>
      </c>
      <c r="D422" t="s">
        <v>630</v>
      </c>
      <c r="E422" t="s">
        <v>17</v>
      </c>
      <c r="F422" t="s">
        <v>631</v>
      </c>
      <c r="G422">
        <v>1</v>
      </c>
      <c r="H422" s="1">
        <v>46020</v>
      </c>
      <c r="I422" s="1">
        <v>46020</v>
      </c>
      <c r="J422">
        <v>12</v>
      </c>
      <c r="K422">
        <v>1</v>
      </c>
      <c r="L422" t="s">
        <v>627</v>
      </c>
      <c r="M422" s="9" t="s">
        <v>19</v>
      </c>
      <c r="N422" s="3" t="str" cm="1">
        <f t="array" ref="N422">_xlfn.IFS(
OR(ISNUMBER(SEARCH("email",D422)),ISNUMBER(SEARCH("email",F422)),ISNUMBER(SEARCH("polish",D422)),ISNUMBER(SEARCH("rewrite",F422)),ISNUMBER(SEARCH("copy",F422))),"Writing and comms",
OR(ISNUMBER(SEARCH("research",F422)),ISNUMBER(SEARCH("intel",F422)),ISNUMBER(SEARCH("company",D422)),ISNUMBER(SEARCH("digger",D422))),"Research and intel",
OR(ISNUMBER(SEARCH("prompt",D422)),ISNUMBER(SEARCH("prompt",F422))),"Prompting help",
OR(ISNUMBER(SEARCH("role",D422)),ISNUMBER(SEARCH("scorecard",F422)),ISNUMBER(SEARCH("competenc",F422))),"Role and leadership advisory",
OR(ISNUMBER(SEARCH("meeting",F422)),ISNUMBER(SEARCH("notes",F422)),ISNUMBER(SEARCH("summary",F422))),"Meeting notes and summarization",
TRUE,"Other or fragmented"
)</f>
        <v>Meeting notes and summarization</v>
      </c>
      <c r="O422" s="3" t="s">
        <v>20</v>
      </c>
      <c r="P422" s="3"/>
    </row>
    <row r="423" spans="1:16" x14ac:dyDescent="0.25">
      <c r="A423" t="s">
        <v>15</v>
      </c>
      <c r="B423" s="1">
        <v>45992</v>
      </c>
      <c r="C423" s="1">
        <v>46022</v>
      </c>
      <c r="E423" t="s">
        <v>24</v>
      </c>
      <c r="G423">
        <v>0</v>
      </c>
      <c r="J423">
        <v>0</v>
      </c>
      <c r="K423">
        <v>0</v>
      </c>
      <c r="L423" t="s">
        <v>627</v>
      </c>
      <c r="M423" s="10" t="s">
        <v>19</v>
      </c>
      <c r="N423" s="3" t="str" cm="1">
        <f t="array" ref="N423">_xlfn.IFS(
OR(ISNUMBER(SEARCH("email",D423)),ISNUMBER(SEARCH("email",F423)),ISNUMBER(SEARCH("polish",D423)),ISNUMBER(SEARCH("rewrite",F423)),ISNUMBER(SEARCH("copy",F423))),"Writing and comms",
OR(ISNUMBER(SEARCH("research",F423)),ISNUMBER(SEARCH("intel",F423)),ISNUMBER(SEARCH("company",D423)),ISNUMBER(SEARCH("digger",D423))),"Research and intel",
OR(ISNUMBER(SEARCH("prompt",D423)),ISNUMBER(SEARCH("prompt",F423))),"Prompting help",
OR(ISNUMBER(SEARCH("role",D423)),ISNUMBER(SEARCH("scorecard",F423)),ISNUMBER(SEARCH("competenc",F423))),"Role and leadership advisory",
OR(ISNUMBER(SEARCH("meeting",F423)),ISNUMBER(SEARCH("notes",F423)),ISNUMBER(SEARCH("summary",F423))),"Meeting notes and summarization",
TRUE,"Other or fragmented"
)</f>
        <v>Other or fragmented</v>
      </c>
      <c r="O423" s="3" t="s">
        <v>20</v>
      </c>
      <c r="P423" s="3"/>
    </row>
    <row r="424" spans="1:16" x14ac:dyDescent="0.25">
      <c r="A424" t="s">
        <v>15</v>
      </c>
      <c r="B424" s="1">
        <v>45992</v>
      </c>
      <c r="C424" s="1">
        <v>46022</v>
      </c>
      <c r="E424" t="s">
        <v>24</v>
      </c>
      <c r="G424">
        <v>0</v>
      </c>
      <c r="J424">
        <v>0</v>
      </c>
      <c r="K424">
        <v>0</v>
      </c>
      <c r="L424" t="s">
        <v>632</v>
      </c>
      <c r="M424" s="9" t="s">
        <v>19</v>
      </c>
      <c r="N424" s="3" t="str" cm="1">
        <f t="array" ref="N424">_xlfn.IFS(
OR(ISNUMBER(SEARCH("email",D424)),ISNUMBER(SEARCH("email",F424)),ISNUMBER(SEARCH("polish",D424)),ISNUMBER(SEARCH("rewrite",F424)),ISNUMBER(SEARCH("copy",F424))),"Writing and comms",
OR(ISNUMBER(SEARCH("research",F424)),ISNUMBER(SEARCH("intel",F424)),ISNUMBER(SEARCH("company",D424)),ISNUMBER(SEARCH("digger",D424))),"Research and intel",
OR(ISNUMBER(SEARCH("prompt",D424)),ISNUMBER(SEARCH("prompt",F424))),"Prompting help",
OR(ISNUMBER(SEARCH("role",D424)),ISNUMBER(SEARCH("scorecard",F424)),ISNUMBER(SEARCH("competenc",F424))),"Role and leadership advisory",
OR(ISNUMBER(SEARCH("meeting",F424)),ISNUMBER(SEARCH("notes",F424)),ISNUMBER(SEARCH("summary",F424))),"Meeting notes and summarization",
TRUE,"Other or fragmented"
)</f>
        <v>Other or fragmented</v>
      </c>
      <c r="O424" s="3" t="s">
        <v>20</v>
      </c>
      <c r="P424" s="3"/>
    </row>
    <row r="425" spans="1:16" x14ac:dyDescent="0.25">
      <c r="A425" t="s">
        <v>15</v>
      </c>
      <c r="B425" s="1">
        <v>45992</v>
      </c>
      <c r="C425" s="1">
        <v>46022</v>
      </c>
      <c r="E425" t="s">
        <v>24</v>
      </c>
      <c r="G425">
        <v>0</v>
      </c>
      <c r="J425">
        <v>0</v>
      </c>
      <c r="K425">
        <v>0</v>
      </c>
      <c r="L425" t="s">
        <v>632</v>
      </c>
      <c r="M425" s="10" t="s">
        <v>19</v>
      </c>
      <c r="N425" s="3" t="str" cm="1">
        <f t="array" ref="N425">_xlfn.IFS(
OR(ISNUMBER(SEARCH("email",D425)),ISNUMBER(SEARCH("email",F425)),ISNUMBER(SEARCH("polish",D425)),ISNUMBER(SEARCH("rewrite",F425)),ISNUMBER(SEARCH("copy",F425))),"Writing and comms",
OR(ISNUMBER(SEARCH("research",F425)),ISNUMBER(SEARCH("intel",F425)),ISNUMBER(SEARCH("company",D425)),ISNUMBER(SEARCH("digger",D425))),"Research and intel",
OR(ISNUMBER(SEARCH("prompt",D425)),ISNUMBER(SEARCH("prompt",F425))),"Prompting help",
OR(ISNUMBER(SEARCH("role",D425)),ISNUMBER(SEARCH("scorecard",F425)),ISNUMBER(SEARCH("competenc",F425))),"Role and leadership advisory",
OR(ISNUMBER(SEARCH("meeting",F425)),ISNUMBER(SEARCH("notes",F425)),ISNUMBER(SEARCH("summary",F425))),"Meeting notes and summarization",
TRUE,"Other or fragmented"
)</f>
        <v>Other or fragmented</v>
      </c>
      <c r="O425" s="3" t="s">
        <v>20</v>
      </c>
      <c r="P425" s="3"/>
    </row>
    <row r="426" spans="1:16" x14ac:dyDescent="0.25">
      <c r="A426" t="s">
        <v>15</v>
      </c>
      <c r="B426" s="1">
        <v>45992</v>
      </c>
      <c r="C426" s="1">
        <v>46022</v>
      </c>
      <c r="E426" t="s">
        <v>24</v>
      </c>
      <c r="G426">
        <v>0</v>
      </c>
      <c r="J426">
        <v>0</v>
      </c>
      <c r="K426">
        <v>0</v>
      </c>
      <c r="L426" t="s">
        <v>633</v>
      </c>
      <c r="M426" s="9" t="s">
        <v>19</v>
      </c>
      <c r="N426" s="3" t="str" cm="1">
        <f t="array" ref="N426">_xlfn.IFS(
OR(ISNUMBER(SEARCH("email",D426)),ISNUMBER(SEARCH("email",F426)),ISNUMBER(SEARCH("polish",D426)),ISNUMBER(SEARCH("rewrite",F426)),ISNUMBER(SEARCH("copy",F426))),"Writing and comms",
OR(ISNUMBER(SEARCH("research",F426)),ISNUMBER(SEARCH("intel",F426)),ISNUMBER(SEARCH("company",D426)),ISNUMBER(SEARCH("digger",D426))),"Research and intel",
OR(ISNUMBER(SEARCH("prompt",D426)),ISNUMBER(SEARCH("prompt",F426))),"Prompting help",
OR(ISNUMBER(SEARCH("role",D426)),ISNUMBER(SEARCH("scorecard",F426)),ISNUMBER(SEARCH("competenc",F426))),"Role and leadership advisory",
OR(ISNUMBER(SEARCH("meeting",F426)),ISNUMBER(SEARCH("notes",F426)),ISNUMBER(SEARCH("summary",F426))),"Meeting notes and summarization",
TRUE,"Other or fragmented"
)</f>
        <v>Other or fragmented</v>
      </c>
      <c r="O426" s="3" t="s">
        <v>20</v>
      </c>
      <c r="P426" s="3"/>
    </row>
    <row r="427" spans="1:16" x14ac:dyDescent="0.25">
      <c r="A427" t="s">
        <v>15</v>
      </c>
      <c r="B427" s="1">
        <v>45992</v>
      </c>
      <c r="C427" s="1">
        <v>46022</v>
      </c>
      <c r="E427" t="s">
        <v>24</v>
      </c>
      <c r="G427">
        <v>0</v>
      </c>
      <c r="J427">
        <v>0</v>
      </c>
      <c r="K427">
        <v>0</v>
      </c>
      <c r="L427" t="s">
        <v>634</v>
      </c>
      <c r="M427" s="10" t="s">
        <v>19</v>
      </c>
      <c r="N427" s="3" t="str" cm="1">
        <f t="array" ref="N427">_xlfn.IFS(
OR(ISNUMBER(SEARCH("email",D427)),ISNUMBER(SEARCH("email",F427)),ISNUMBER(SEARCH("polish",D427)),ISNUMBER(SEARCH("rewrite",F427)),ISNUMBER(SEARCH("copy",F427))),"Writing and comms",
OR(ISNUMBER(SEARCH("research",F427)),ISNUMBER(SEARCH("intel",F427)),ISNUMBER(SEARCH("company",D427)),ISNUMBER(SEARCH("digger",D427))),"Research and intel",
OR(ISNUMBER(SEARCH("prompt",D427)),ISNUMBER(SEARCH("prompt",F427))),"Prompting help",
OR(ISNUMBER(SEARCH("role",D427)),ISNUMBER(SEARCH("scorecard",F427)),ISNUMBER(SEARCH("competenc",F427))),"Role and leadership advisory",
OR(ISNUMBER(SEARCH("meeting",F427)),ISNUMBER(SEARCH("notes",F427)),ISNUMBER(SEARCH("summary",F427))),"Meeting notes and summarization",
TRUE,"Other or fragmented"
)</f>
        <v>Other or fragmented</v>
      </c>
      <c r="O427" s="3" t="s">
        <v>20</v>
      </c>
      <c r="P427" s="3"/>
    </row>
    <row r="428" spans="1:16" x14ac:dyDescent="0.25">
      <c r="A428" t="s">
        <v>15</v>
      </c>
      <c r="B428" s="1">
        <v>45992</v>
      </c>
      <c r="C428" s="1">
        <v>46022</v>
      </c>
      <c r="E428" t="s">
        <v>24</v>
      </c>
      <c r="G428">
        <v>0</v>
      </c>
      <c r="J428">
        <v>0</v>
      </c>
      <c r="K428">
        <v>0</v>
      </c>
      <c r="L428" t="s">
        <v>635</v>
      </c>
      <c r="M428" s="9" t="s">
        <v>19</v>
      </c>
      <c r="N428" s="3" t="str" cm="1">
        <f t="array" ref="N428">_xlfn.IFS(
OR(ISNUMBER(SEARCH("email",D428)),ISNUMBER(SEARCH("email",F428)),ISNUMBER(SEARCH("polish",D428)),ISNUMBER(SEARCH("rewrite",F428)),ISNUMBER(SEARCH("copy",F428))),"Writing and comms",
OR(ISNUMBER(SEARCH("research",F428)),ISNUMBER(SEARCH("intel",F428)),ISNUMBER(SEARCH("company",D428)),ISNUMBER(SEARCH("digger",D428))),"Research and intel",
OR(ISNUMBER(SEARCH("prompt",D428)),ISNUMBER(SEARCH("prompt",F428))),"Prompting help",
OR(ISNUMBER(SEARCH("role",D428)),ISNUMBER(SEARCH("scorecard",F428)),ISNUMBER(SEARCH("competenc",F428))),"Role and leadership advisory",
OR(ISNUMBER(SEARCH("meeting",F428)),ISNUMBER(SEARCH("notes",F428)),ISNUMBER(SEARCH("summary",F428))),"Meeting notes and summarization",
TRUE,"Other or fragmented"
)</f>
        <v>Other or fragmented</v>
      </c>
      <c r="O428" s="3" t="s">
        <v>20</v>
      </c>
      <c r="P428" s="3"/>
    </row>
    <row r="429" spans="1:16" x14ac:dyDescent="0.25">
      <c r="A429" t="s">
        <v>15</v>
      </c>
      <c r="B429" s="1">
        <v>45992</v>
      </c>
      <c r="C429" s="1">
        <v>46022</v>
      </c>
      <c r="E429" t="s">
        <v>24</v>
      </c>
      <c r="G429">
        <v>0</v>
      </c>
      <c r="J429">
        <v>0</v>
      </c>
      <c r="K429">
        <v>0</v>
      </c>
      <c r="L429" t="s">
        <v>636</v>
      </c>
      <c r="M429" s="10" t="s">
        <v>19</v>
      </c>
      <c r="N429" s="3" t="str" cm="1">
        <f t="array" ref="N429">_xlfn.IFS(
OR(ISNUMBER(SEARCH("email",D429)),ISNUMBER(SEARCH("email",F429)),ISNUMBER(SEARCH("polish",D429)),ISNUMBER(SEARCH("rewrite",F429)),ISNUMBER(SEARCH("copy",F429))),"Writing and comms",
OR(ISNUMBER(SEARCH("research",F429)),ISNUMBER(SEARCH("intel",F429)),ISNUMBER(SEARCH("company",D429)),ISNUMBER(SEARCH("digger",D429))),"Research and intel",
OR(ISNUMBER(SEARCH("prompt",D429)),ISNUMBER(SEARCH("prompt",F429))),"Prompting help",
OR(ISNUMBER(SEARCH("role",D429)),ISNUMBER(SEARCH("scorecard",F429)),ISNUMBER(SEARCH("competenc",F429))),"Role and leadership advisory",
OR(ISNUMBER(SEARCH("meeting",F429)),ISNUMBER(SEARCH("notes",F429)),ISNUMBER(SEARCH("summary",F429))),"Meeting notes and summarization",
TRUE,"Other or fragmented"
)</f>
        <v>Other or fragmented</v>
      </c>
      <c r="O429" s="3" t="s">
        <v>20</v>
      </c>
      <c r="P429" s="3"/>
    </row>
    <row r="430" spans="1:16" x14ac:dyDescent="0.25">
      <c r="A430" t="s">
        <v>15</v>
      </c>
      <c r="B430" s="1">
        <v>45992</v>
      </c>
      <c r="C430" s="1">
        <v>46022</v>
      </c>
      <c r="E430" t="s">
        <v>24</v>
      </c>
      <c r="G430">
        <v>0</v>
      </c>
      <c r="J430">
        <v>0</v>
      </c>
      <c r="K430">
        <v>0</v>
      </c>
      <c r="L430" t="s">
        <v>636</v>
      </c>
      <c r="M430" s="9" t="s">
        <v>19</v>
      </c>
      <c r="N430" s="3" t="str" cm="1">
        <f t="array" ref="N430">_xlfn.IFS(
OR(ISNUMBER(SEARCH("email",D430)),ISNUMBER(SEARCH("email",F430)),ISNUMBER(SEARCH("polish",D430)),ISNUMBER(SEARCH("rewrite",F430)),ISNUMBER(SEARCH("copy",F430))),"Writing and comms",
OR(ISNUMBER(SEARCH("research",F430)),ISNUMBER(SEARCH("intel",F430)),ISNUMBER(SEARCH("company",D430)),ISNUMBER(SEARCH("digger",D430))),"Research and intel",
OR(ISNUMBER(SEARCH("prompt",D430)),ISNUMBER(SEARCH("prompt",F430))),"Prompting help",
OR(ISNUMBER(SEARCH("role",D430)),ISNUMBER(SEARCH("scorecard",F430)),ISNUMBER(SEARCH("competenc",F430))),"Role and leadership advisory",
OR(ISNUMBER(SEARCH("meeting",F430)),ISNUMBER(SEARCH("notes",F430)),ISNUMBER(SEARCH("summary",F430))),"Meeting notes and summarization",
TRUE,"Other or fragmented"
)</f>
        <v>Other or fragmented</v>
      </c>
      <c r="O430" s="3" t="s">
        <v>20</v>
      </c>
      <c r="P430" s="3"/>
    </row>
    <row r="431" spans="1:16" x14ac:dyDescent="0.25">
      <c r="A431" t="s">
        <v>15</v>
      </c>
      <c r="B431" s="1">
        <v>45992</v>
      </c>
      <c r="C431" s="1">
        <v>46022</v>
      </c>
      <c r="D431" t="s">
        <v>637</v>
      </c>
      <c r="E431" t="s">
        <v>24</v>
      </c>
      <c r="F431" t="s">
        <v>638</v>
      </c>
      <c r="G431">
        <v>0</v>
      </c>
      <c r="J431">
        <v>0</v>
      </c>
      <c r="K431">
        <v>0</v>
      </c>
      <c r="L431" t="s">
        <v>636</v>
      </c>
      <c r="M431" s="10" t="s">
        <v>19</v>
      </c>
      <c r="N431" s="3" t="str" cm="1">
        <f t="array" ref="N431">_xlfn.IFS(
OR(ISNUMBER(SEARCH("email",D431)),ISNUMBER(SEARCH("email",F431)),ISNUMBER(SEARCH("polish",D431)),ISNUMBER(SEARCH("rewrite",F431)),ISNUMBER(SEARCH("copy",F431))),"Writing and comms",
OR(ISNUMBER(SEARCH("research",F431)),ISNUMBER(SEARCH("intel",F431)),ISNUMBER(SEARCH("company",D431)),ISNUMBER(SEARCH("digger",D431))),"Research and intel",
OR(ISNUMBER(SEARCH("prompt",D431)),ISNUMBER(SEARCH("prompt",F431))),"Prompting help",
OR(ISNUMBER(SEARCH("role",D431)),ISNUMBER(SEARCH("scorecard",F431)),ISNUMBER(SEARCH("competenc",F431))),"Role and leadership advisory",
OR(ISNUMBER(SEARCH("meeting",F431)),ISNUMBER(SEARCH("notes",F431)),ISNUMBER(SEARCH("summary",F431))),"Meeting notes and summarization",
TRUE,"Other or fragmented"
)</f>
        <v>Other or fragmented</v>
      </c>
      <c r="O431" s="3" t="s">
        <v>20</v>
      </c>
      <c r="P431" s="3"/>
    </row>
    <row r="432" spans="1:16" x14ac:dyDescent="0.25">
      <c r="A432" t="s">
        <v>15</v>
      </c>
      <c r="B432" s="1">
        <v>45992</v>
      </c>
      <c r="C432" s="1">
        <v>46022</v>
      </c>
      <c r="E432" t="s">
        <v>24</v>
      </c>
      <c r="G432">
        <v>0</v>
      </c>
      <c r="J432">
        <v>0</v>
      </c>
      <c r="K432">
        <v>0</v>
      </c>
      <c r="L432" t="s">
        <v>639</v>
      </c>
      <c r="M432" s="9" t="s">
        <v>19</v>
      </c>
      <c r="N432" s="3" t="str" cm="1">
        <f t="array" ref="N432">_xlfn.IFS(
OR(ISNUMBER(SEARCH("email",D432)),ISNUMBER(SEARCH("email",F432)),ISNUMBER(SEARCH("polish",D432)),ISNUMBER(SEARCH("rewrite",F432)),ISNUMBER(SEARCH("copy",F432))),"Writing and comms",
OR(ISNUMBER(SEARCH("research",F432)),ISNUMBER(SEARCH("intel",F432)),ISNUMBER(SEARCH("company",D432)),ISNUMBER(SEARCH("digger",D432))),"Research and intel",
OR(ISNUMBER(SEARCH("prompt",D432)),ISNUMBER(SEARCH("prompt",F432))),"Prompting help",
OR(ISNUMBER(SEARCH("role",D432)),ISNUMBER(SEARCH("scorecard",F432)),ISNUMBER(SEARCH("competenc",F432))),"Role and leadership advisory",
OR(ISNUMBER(SEARCH("meeting",F432)),ISNUMBER(SEARCH("notes",F432)),ISNUMBER(SEARCH("summary",F432))),"Meeting notes and summarization",
TRUE,"Other or fragmented"
)</f>
        <v>Other or fragmented</v>
      </c>
      <c r="O432" s="3" t="s">
        <v>20</v>
      </c>
      <c r="P432" s="3"/>
    </row>
    <row r="433" spans="1:16" x14ac:dyDescent="0.25">
      <c r="A433" t="s">
        <v>15</v>
      </c>
      <c r="B433" s="1">
        <v>45992</v>
      </c>
      <c r="C433" s="1">
        <v>46022</v>
      </c>
      <c r="E433" t="s">
        <v>24</v>
      </c>
      <c r="G433">
        <v>0</v>
      </c>
      <c r="J433">
        <v>0</v>
      </c>
      <c r="K433">
        <v>0</v>
      </c>
      <c r="L433" t="s">
        <v>639</v>
      </c>
      <c r="M433" s="10" t="s">
        <v>19</v>
      </c>
      <c r="N433" s="3" t="str" cm="1">
        <f t="array" ref="N433">_xlfn.IFS(
OR(ISNUMBER(SEARCH("email",D433)),ISNUMBER(SEARCH("email",F433)),ISNUMBER(SEARCH("polish",D433)),ISNUMBER(SEARCH("rewrite",F433)),ISNUMBER(SEARCH("copy",F433))),"Writing and comms",
OR(ISNUMBER(SEARCH("research",F433)),ISNUMBER(SEARCH("intel",F433)),ISNUMBER(SEARCH("company",D433)),ISNUMBER(SEARCH("digger",D433))),"Research and intel",
OR(ISNUMBER(SEARCH("prompt",D433)),ISNUMBER(SEARCH("prompt",F433))),"Prompting help",
OR(ISNUMBER(SEARCH("role",D433)),ISNUMBER(SEARCH("scorecard",F433)),ISNUMBER(SEARCH("competenc",F433))),"Role and leadership advisory",
OR(ISNUMBER(SEARCH("meeting",F433)),ISNUMBER(SEARCH("notes",F433)),ISNUMBER(SEARCH("summary",F433))),"Meeting notes and summarization",
TRUE,"Other or fragmented"
)</f>
        <v>Other or fragmented</v>
      </c>
      <c r="O433" s="3" t="s">
        <v>20</v>
      </c>
      <c r="P433" s="3"/>
    </row>
    <row r="434" spans="1:16" x14ac:dyDescent="0.25">
      <c r="A434" t="s">
        <v>15</v>
      </c>
      <c r="B434" s="1">
        <v>45992</v>
      </c>
      <c r="C434" s="1">
        <v>46022</v>
      </c>
      <c r="E434" t="s">
        <v>24</v>
      </c>
      <c r="G434">
        <v>0</v>
      </c>
      <c r="J434">
        <v>0</v>
      </c>
      <c r="K434">
        <v>0</v>
      </c>
      <c r="L434" t="s">
        <v>639</v>
      </c>
      <c r="M434" s="9" t="s">
        <v>19</v>
      </c>
      <c r="N434" s="3" t="str" cm="1">
        <f t="array" ref="N434">_xlfn.IFS(
OR(ISNUMBER(SEARCH("email",D434)),ISNUMBER(SEARCH("email",F434)),ISNUMBER(SEARCH("polish",D434)),ISNUMBER(SEARCH("rewrite",F434)),ISNUMBER(SEARCH("copy",F434))),"Writing and comms",
OR(ISNUMBER(SEARCH("research",F434)),ISNUMBER(SEARCH("intel",F434)),ISNUMBER(SEARCH("company",D434)),ISNUMBER(SEARCH("digger",D434))),"Research and intel",
OR(ISNUMBER(SEARCH("prompt",D434)),ISNUMBER(SEARCH("prompt",F434))),"Prompting help",
OR(ISNUMBER(SEARCH("role",D434)),ISNUMBER(SEARCH("scorecard",F434)),ISNUMBER(SEARCH("competenc",F434))),"Role and leadership advisory",
OR(ISNUMBER(SEARCH("meeting",F434)),ISNUMBER(SEARCH("notes",F434)),ISNUMBER(SEARCH("summary",F434))),"Meeting notes and summarization",
TRUE,"Other or fragmented"
)</f>
        <v>Other or fragmented</v>
      </c>
      <c r="O434" s="3" t="s">
        <v>20</v>
      </c>
      <c r="P434" s="3"/>
    </row>
    <row r="435" spans="1:16" x14ac:dyDescent="0.25">
      <c r="A435" t="s">
        <v>15</v>
      </c>
      <c r="B435" s="1">
        <v>45992</v>
      </c>
      <c r="C435" s="1">
        <v>46022</v>
      </c>
      <c r="D435" t="s">
        <v>640</v>
      </c>
      <c r="E435" t="s">
        <v>24</v>
      </c>
      <c r="G435">
        <v>0</v>
      </c>
      <c r="J435">
        <v>0</v>
      </c>
      <c r="K435">
        <v>0</v>
      </c>
      <c r="L435" t="s">
        <v>639</v>
      </c>
      <c r="M435" s="10" t="s">
        <v>19</v>
      </c>
      <c r="N435" s="3" t="str" cm="1">
        <f t="array" ref="N435">_xlfn.IFS(
OR(ISNUMBER(SEARCH("email",D435)),ISNUMBER(SEARCH("email",F435)),ISNUMBER(SEARCH("polish",D435)),ISNUMBER(SEARCH("rewrite",F435)),ISNUMBER(SEARCH("copy",F435))),"Writing and comms",
OR(ISNUMBER(SEARCH("research",F435)),ISNUMBER(SEARCH("intel",F435)),ISNUMBER(SEARCH("company",D435)),ISNUMBER(SEARCH("digger",D435))),"Research and intel",
OR(ISNUMBER(SEARCH("prompt",D435)),ISNUMBER(SEARCH("prompt",F435))),"Prompting help",
OR(ISNUMBER(SEARCH("role",D435)),ISNUMBER(SEARCH("scorecard",F435)),ISNUMBER(SEARCH("competenc",F435))),"Role and leadership advisory",
OR(ISNUMBER(SEARCH("meeting",F435)),ISNUMBER(SEARCH("notes",F435)),ISNUMBER(SEARCH("summary",F435))),"Meeting notes and summarization",
TRUE,"Other or fragmented"
)</f>
        <v>Other or fragmented</v>
      </c>
      <c r="O435" s="3" t="s">
        <v>20</v>
      </c>
      <c r="P435" s="3"/>
    </row>
    <row r="436" spans="1:16" x14ac:dyDescent="0.25">
      <c r="A436" t="s">
        <v>15</v>
      </c>
      <c r="B436" s="1">
        <v>45992</v>
      </c>
      <c r="C436" s="1">
        <v>46022</v>
      </c>
      <c r="D436" t="s">
        <v>641</v>
      </c>
      <c r="E436" t="s">
        <v>17</v>
      </c>
      <c r="F436" t="s">
        <v>642</v>
      </c>
      <c r="G436">
        <v>0</v>
      </c>
      <c r="J436">
        <v>0</v>
      </c>
      <c r="K436">
        <v>0</v>
      </c>
      <c r="L436" t="s">
        <v>639</v>
      </c>
      <c r="M436" s="9" t="s">
        <v>19</v>
      </c>
      <c r="N436" s="3" t="str" cm="1">
        <f t="array" ref="N436">_xlfn.IFS(
OR(ISNUMBER(SEARCH("email",D436)),ISNUMBER(SEARCH("email",F436)),ISNUMBER(SEARCH("polish",D436)),ISNUMBER(SEARCH("rewrite",F436)),ISNUMBER(SEARCH("copy",F436))),"Writing and comms",
OR(ISNUMBER(SEARCH("research",F436)),ISNUMBER(SEARCH("intel",F436)),ISNUMBER(SEARCH("company",D436)),ISNUMBER(SEARCH("digger",D436))),"Research and intel",
OR(ISNUMBER(SEARCH("prompt",D436)),ISNUMBER(SEARCH("prompt",F436))),"Prompting help",
OR(ISNUMBER(SEARCH("role",D436)),ISNUMBER(SEARCH("scorecard",F436)),ISNUMBER(SEARCH("competenc",F436))),"Role and leadership advisory",
OR(ISNUMBER(SEARCH("meeting",F436)),ISNUMBER(SEARCH("notes",F436)),ISNUMBER(SEARCH("summary",F436))),"Meeting notes and summarization",
TRUE,"Other or fragmented"
)</f>
        <v>Other or fragmented</v>
      </c>
      <c r="O436" s="3" t="s">
        <v>20</v>
      </c>
      <c r="P436" s="3"/>
    </row>
    <row r="437" spans="1:16" x14ac:dyDescent="0.25">
      <c r="A437" t="s">
        <v>15</v>
      </c>
      <c r="B437" s="1">
        <v>45992</v>
      </c>
      <c r="C437" s="1">
        <v>46022</v>
      </c>
      <c r="E437" t="s">
        <v>24</v>
      </c>
      <c r="G437">
        <v>0</v>
      </c>
      <c r="J437">
        <v>0</v>
      </c>
      <c r="K437">
        <v>0</v>
      </c>
      <c r="L437" t="s">
        <v>639</v>
      </c>
      <c r="M437" s="10" t="s">
        <v>19</v>
      </c>
      <c r="N437" s="3" t="str" cm="1">
        <f t="array" ref="N437">_xlfn.IFS(
OR(ISNUMBER(SEARCH("email",D437)),ISNUMBER(SEARCH("email",F437)),ISNUMBER(SEARCH("polish",D437)),ISNUMBER(SEARCH("rewrite",F437)),ISNUMBER(SEARCH("copy",F437))),"Writing and comms",
OR(ISNUMBER(SEARCH("research",F437)),ISNUMBER(SEARCH("intel",F437)),ISNUMBER(SEARCH("company",D437)),ISNUMBER(SEARCH("digger",D437))),"Research and intel",
OR(ISNUMBER(SEARCH("prompt",D437)),ISNUMBER(SEARCH("prompt",F437))),"Prompting help",
OR(ISNUMBER(SEARCH("role",D437)),ISNUMBER(SEARCH("scorecard",F437)),ISNUMBER(SEARCH("competenc",F437))),"Role and leadership advisory",
OR(ISNUMBER(SEARCH("meeting",F437)),ISNUMBER(SEARCH("notes",F437)),ISNUMBER(SEARCH("summary",F437))),"Meeting notes and summarization",
TRUE,"Other or fragmented"
)</f>
        <v>Other or fragmented</v>
      </c>
      <c r="O437" s="3" t="s">
        <v>20</v>
      </c>
      <c r="P437" s="3"/>
    </row>
    <row r="438" spans="1:16" x14ac:dyDescent="0.25">
      <c r="A438" t="s">
        <v>15</v>
      </c>
      <c r="B438" s="1">
        <v>45992</v>
      </c>
      <c r="C438" s="1">
        <v>46022</v>
      </c>
      <c r="E438" t="s">
        <v>24</v>
      </c>
      <c r="G438">
        <v>0</v>
      </c>
      <c r="J438">
        <v>0</v>
      </c>
      <c r="K438">
        <v>0</v>
      </c>
      <c r="L438" t="s">
        <v>643</v>
      </c>
      <c r="M438" s="9" t="s">
        <v>19</v>
      </c>
      <c r="N438" s="3" t="str" cm="1">
        <f t="array" ref="N438">_xlfn.IFS(
OR(ISNUMBER(SEARCH("email",D438)),ISNUMBER(SEARCH("email",F438)),ISNUMBER(SEARCH("polish",D438)),ISNUMBER(SEARCH("rewrite",F438)),ISNUMBER(SEARCH("copy",F438))),"Writing and comms",
OR(ISNUMBER(SEARCH("research",F438)),ISNUMBER(SEARCH("intel",F438)),ISNUMBER(SEARCH("company",D438)),ISNUMBER(SEARCH("digger",D438))),"Research and intel",
OR(ISNUMBER(SEARCH("prompt",D438)),ISNUMBER(SEARCH("prompt",F438))),"Prompting help",
OR(ISNUMBER(SEARCH("role",D438)),ISNUMBER(SEARCH("scorecard",F438)),ISNUMBER(SEARCH("competenc",F438))),"Role and leadership advisory",
OR(ISNUMBER(SEARCH("meeting",F438)),ISNUMBER(SEARCH("notes",F438)),ISNUMBER(SEARCH("summary",F438))),"Meeting notes and summarization",
TRUE,"Other or fragmented"
)</f>
        <v>Other or fragmented</v>
      </c>
      <c r="O438" s="3" t="s">
        <v>20</v>
      </c>
      <c r="P438" s="3"/>
    </row>
    <row r="439" spans="1:16" x14ac:dyDescent="0.25">
      <c r="A439" t="s">
        <v>15</v>
      </c>
      <c r="B439" s="1">
        <v>45992</v>
      </c>
      <c r="C439" s="1">
        <v>46022</v>
      </c>
      <c r="E439" t="s">
        <v>24</v>
      </c>
      <c r="G439">
        <v>0</v>
      </c>
      <c r="J439">
        <v>0</v>
      </c>
      <c r="K439">
        <v>0</v>
      </c>
      <c r="L439" t="s">
        <v>643</v>
      </c>
      <c r="M439" s="10" t="s">
        <v>19</v>
      </c>
      <c r="N439" s="3" t="str" cm="1">
        <f t="array" ref="N439">_xlfn.IFS(
OR(ISNUMBER(SEARCH("email",D439)),ISNUMBER(SEARCH("email",F439)),ISNUMBER(SEARCH("polish",D439)),ISNUMBER(SEARCH("rewrite",F439)),ISNUMBER(SEARCH("copy",F439))),"Writing and comms",
OR(ISNUMBER(SEARCH("research",F439)),ISNUMBER(SEARCH("intel",F439)),ISNUMBER(SEARCH("company",D439)),ISNUMBER(SEARCH("digger",D439))),"Research and intel",
OR(ISNUMBER(SEARCH("prompt",D439)),ISNUMBER(SEARCH("prompt",F439))),"Prompting help",
OR(ISNUMBER(SEARCH("role",D439)),ISNUMBER(SEARCH("scorecard",F439)),ISNUMBER(SEARCH("competenc",F439))),"Role and leadership advisory",
OR(ISNUMBER(SEARCH("meeting",F439)),ISNUMBER(SEARCH("notes",F439)),ISNUMBER(SEARCH("summary",F439))),"Meeting notes and summarization",
TRUE,"Other or fragmented"
)</f>
        <v>Other or fragmented</v>
      </c>
      <c r="O439" s="3" t="s">
        <v>20</v>
      </c>
      <c r="P439" s="3"/>
    </row>
    <row r="440" spans="1:16" x14ac:dyDescent="0.25">
      <c r="A440" t="s">
        <v>15</v>
      </c>
      <c r="B440" s="1">
        <v>45992</v>
      </c>
      <c r="C440" s="1">
        <v>46022</v>
      </c>
      <c r="D440" t="s">
        <v>644</v>
      </c>
      <c r="E440" t="s">
        <v>17</v>
      </c>
      <c r="F440" t="s">
        <v>645</v>
      </c>
      <c r="G440">
        <v>1</v>
      </c>
      <c r="H440" s="1">
        <v>45999</v>
      </c>
      <c r="I440" s="1">
        <v>46000</v>
      </c>
      <c r="J440">
        <v>112</v>
      </c>
      <c r="K440">
        <v>1</v>
      </c>
      <c r="L440" t="s">
        <v>646</v>
      </c>
      <c r="M440" s="9" t="s">
        <v>19</v>
      </c>
      <c r="N440" s="3" t="str" cm="1">
        <f t="array" ref="N440">_xlfn.IFS(
OR(ISNUMBER(SEARCH("email",D440)),ISNUMBER(SEARCH("email",F440)),ISNUMBER(SEARCH("polish",D440)),ISNUMBER(SEARCH("rewrite",F440)),ISNUMBER(SEARCH("copy",F440))),"Writing and comms",
OR(ISNUMBER(SEARCH("research",F440)),ISNUMBER(SEARCH("intel",F440)),ISNUMBER(SEARCH("company",D440)),ISNUMBER(SEARCH("digger",D440))),"Research and intel",
OR(ISNUMBER(SEARCH("prompt",D440)),ISNUMBER(SEARCH("prompt",F440))),"Prompting help",
OR(ISNUMBER(SEARCH("role",D440)),ISNUMBER(SEARCH("scorecard",F440)),ISNUMBER(SEARCH("competenc",F440))),"Role and leadership advisory",
OR(ISNUMBER(SEARCH("meeting",F440)),ISNUMBER(SEARCH("notes",F440)),ISNUMBER(SEARCH("summary",F440))),"Meeting notes and summarization",
TRUE,"Other or fragmented"
)</f>
        <v>Other or fragmented</v>
      </c>
      <c r="O440" s="3" t="s">
        <v>20</v>
      </c>
      <c r="P440" s="3"/>
    </row>
    <row r="441" spans="1:16" x14ac:dyDescent="0.25">
      <c r="A441" t="s">
        <v>15</v>
      </c>
      <c r="B441" s="1">
        <v>45992</v>
      </c>
      <c r="C441" s="1">
        <v>46022</v>
      </c>
      <c r="D441" t="s">
        <v>647</v>
      </c>
      <c r="E441" t="s">
        <v>24</v>
      </c>
      <c r="F441" t="s">
        <v>648</v>
      </c>
      <c r="G441">
        <v>0</v>
      </c>
      <c r="J441">
        <v>0</v>
      </c>
      <c r="K441">
        <v>0</v>
      </c>
      <c r="L441" t="s">
        <v>646</v>
      </c>
      <c r="M441" s="10" t="s">
        <v>19</v>
      </c>
      <c r="N441" s="3" t="str" cm="1">
        <f t="array" ref="N441">_xlfn.IFS(
OR(ISNUMBER(SEARCH("email",D441)),ISNUMBER(SEARCH("email",F441)),ISNUMBER(SEARCH("polish",D441)),ISNUMBER(SEARCH("rewrite",F441)),ISNUMBER(SEARCH("copy",F441))),"Writing and comms",
OR(ISNUMBER(SEARCH("research",F441)),ISNUMBER(SEARCH("intel",F441)),ISNUMBER(SEARCH("company",D441)),ISNUMBER(SEARCH("digger",D441))),"Research and intel",
OR(ISNUMBER(SEARCH("prompt",D441)),ISNUMBER(SEARCH("prompt",F441))),"Prompting help",
OR(ISNUMBER(SEARCH("role",D441)),ISNUMBER(SEARCH("scorecard",F441)),ISNUMBER(SEARCH("competenc",F441))),"Role and leadership advisory",
OR(ISNUMBER(SEARCH("meeting",F441)),ISNUMBER(SEARCH("notes",F441)),ISNUMBER(SEARCH("summary",F441))),"Meeting notes and summarization",
TRUE,"Other or fragmented"
)</f>
        <v>Other or fragmented</v>
      </c>
      <c r="O441" s="3" t="s">
        <v>20</v>
      </c>
      <c r="P441" s="3"/>
    </row>
    <row r="442" spans="1:16" x14ac:dyDescent="0.25">
      <c r="A442" t="s">
        <v>15</v>
      </c>
      <c r="B442" s="1">
        <v>45992</v>
      </c>
      <c r="C442" s="1">
        <v>46022</v>
      </c>
      <c r="E442" t="s">
        <v>24</v>
      </c>
      <c r="G442">
        <v>0</v>
      </c>
      <c r="J442">
        <v>0</v>
      </c>
      <c r="K442">
        <v>0</v>
      </c>
      <c r="L442" t="s">
        <v>649</v>
      </c>
      <c r="M442" s="9" t="s">
        <v>19</v>
      </c>
      <c r="N442" s="3" t="str" cm="1">
        <f t="array" ref="N442">_xlfn.IFS(
OR(ISNUMBER(SEARCH("email",D442)),ISNUMBER(SEARCH("email",F442)),ISNUMBER(SEARCH("polish",D442)),ISNUMBER(SEARCH("rewrite",F442)),ISNUMBER(SEARCH("copy",F442))),"Writing and comms",
OR(ISNUMBER(SEARCH("research",F442)),ISNUMBER(SEARCH("intel",F442)),ISNUMBER(SEARCH("company",D442)),ISNUMBER(SEARCH("digger",D442))),"Research and intel",
OR(ISNUMBER(SEARCH("prompt",D442)),ISNUMBER(SEARCH("prompt",F442))),"Prompting help",
OR(ISNUMBER(SEARCH("role",D442)),ISNUMBER(SEARCH("scorecard",F442)),ISNUMBER(SEARCH("competenc",F442))),"Role and leadership advisory",
OR(ISNUMBER(SEARCH("meeting",F442)),ISNUMBER(SEARCH("notes",F442)),ISNUMBER(SEARCH("summary",F442))),"Meeting notes and summarization",
TRUE,"Other or fragmented"
)</f>
        <v>Other or fragmented</v>
      </c>
      <c r="O442" s="3" t="s">
        <v>20</v>
      </c>
      <c r="P442" s="3"/>
    </row>
    <row r="443" spans="1:16" x14ac:dyDescent="0.25">
      <c r="A443" t="s">
        <v>15</v>
      </c>
      <c r="B443" s="1">
        <v>45992</v>
      </c>
      <c r="C443" s="1">
        <v>46022</v>
      </c>
      <c r="D443" t="s">
        <v>650</v>
      </c>
      <c r="E443" t="s">
        <v>24</v>
      </c>
      <c r="F443" t="s">
        <v>651</v>
      </c>
      <c r="G443">
        <v>1</v>
      </c>
      <c r="H443" s="1">
        <v>46008</v>
      </c>
      <c r="I443" s="1">
        <v>46008</v>
      </c>
      <c r="J443">
        <v>18</v>
      </c>
      <c r="K443">
        <v>1</v>
      </c>
      <c r="L443" t="s">
        <v>652</v>
      </c>
      <c r="M443" s="10" t="s">
        <v>19</v>
      </c>
      <c r="N443" s="3" t="str" cm="1">
        <f t="array" ref="N443">_xlfn.IFS(
OR(ISNUMBER(SEARCH("email",D443)),ISNUMBER(SEARCH("email",F443)),ISNUMBER(SEARCH("polish",D443)),ISNUMBER(SEARCH("rewrite",F443)),ISNUMBER(SEARCH("copy",F443))),"Writing and comms",
OR(ISNUMBER(SEARCH("research",F443)),ISNUMBER(SEARCH("intel",F443)),ISNUMBER(SEARCH("company",D443)),ISNUMBER(SEARCH("digger",D443))),"Research and intel",
OR(ISNUMBER(SEARCH("prompt",D443)),ISNUMBER(SEARCH("prompt",F443))),"Prompting help",
OR(ISNUMBER(SEARCH("role",D443)),ISNUMBER(SEARCH("scorecard",F443)),ISNUMBER(SEARCH("competenc",F443))),"Role and leadership advisory",
OR(ISNUMBER(SEARCH("meeting",F443)),ISNUMBER(SEARCH("notes",F443)),ISNUMBER(SEARCH("summary",F443))),"Meeting notes and summarization",
TRUE,"Other or fragmented"
)</f>
        <v>Other or fragmented</v>
      </c>
      <c r="O443" s="3" t="s">
        <v>20</v>
      </c>
      <c r="P443" s="3"/>
    </row>
    <row r="444" spans="1:16" x14ac:dyDescent="0.25">
      <c r="A444" t="s">
        <v>15</v>
      </c>
      <c r="B444" s="1">
        <v>45992</v>
      </c>
      <c r="C444" s="1">
        <v>46022</v>
      </c>
      <c r="D444" t="s">
        <v>653</v>
      </c>
      <c r="E444" t="s">
        <v>17</v>
      </c>
      <c r="G444">
        <v>1</v>
      </c>
      <c r="H444" s="1">
        <v>45994</v>
      </c>
      <c r="I444" s="1">
        <v>45994</v>
      </c>
      <c r="J444">
        <v>5</v>
      </c>
      <c r="K444">
        <v>1</v>
      </c>
      <c r="L444" t="s">
        <v>654</v>
      </c>
      <c r="M444" s="9" t="s">
        <v>19</v>
      </c>
      <c r="N444" s="3" t="str" cm="1">
        <f t="array" ref="N444">_xlfn.IFS(
OR(ISNUMBER(SEARCH("email",D444)),ISNUMBER(SEARCH("email",F444)),ISNUMBER(SEARCH("polish",D444)),ISNUMBER(SEARCH("rewrite",F444)),ISNUMBER(SEARCH("copy",F444))),"Writing and comms",
OR(ISNUMBER(SEARCH("research",F444)),ISNUMBER(SEARCH("intel",F444)),ISNUMBER(SEARCH("company",D444)),ISNUMBER(SEARCH("digger",D444))),"Research and intel",
OR(ISNUMBER(SEARCH("prompt",D444)),ISNUMBER(SEARCH("prompt",F444))),"Prompting help",
OR(ISNUMBER(SEARCH("role",D444)),ISNUMBER(SEARCH("scorecard",F444)),ISNUMBER(SEARCH("competenc",F444))),"Role and leadership advisory",
OR(ISNUMBER(SEARCH("meeting",F444)),ISNUMBER(SEARCH("notes",F444)),ISNUMBER(SEARCH("summary",F444))),"Meeting notes and summarization",
TRUE,"Other or fragmented"
)</f>
        <v>Other or fragmented</v>
      </c>
      <c r="O444" s="3" t="s">
        <v>20</v>
      </c>
      <c r="P444" s="3"/>
    </row>
    <row r="445" spans="1:16" x14ac:dyDescent="0.25">
      <c r="A445" t="s">
        <v>15</v>
      </c>
      <c r="B445" s="1">
        <v>45992</v>
      </c>
      <c r="C445" s="1">
        <v>46022</v>
      </c>
      <c r="D445" t="s">
        <v>655</v>
      </c>
      <c r="E445" t="s">
        <v>17</v>
      </c>
      <c r="F445" t="s">
        <v>656</v>
      </c>
      <c r="G445">
        <v>0</v>
      </c>
      <c r="J445">
        <v>0</v>
      </c>
      <c r="K445">
        <v>0</v>
      </c>
      <c r="L445" t="s">
        <v>654</v>
      </c>
      <c r="M445" s="10" t="s">
        <v>19</v>
      </c>
      <c r="N445" s="3" t="str" cm="1">
        <f t="array" ref="N445">_xlfn.IFS(
OR(ISNUMBER(SEARCH("email",D445)),ISNUMBER(SEARCH("email",F445)),ISNUMBER(SEARCH("polish",D445)),ISNUMBER(SEARCH("rewrite",F445)),ISNUMBER(SEARCH("copy",F445))),"Writing and comms",
OR(ISNUMBER(SEARCH("research",F445)),ISNUMBER(SEARCH("intel",F445)),ISNUMBER(SEARCH("company",D445)),ISNUMBER(SEARCH("digger",D445))),"Research and intel",
OR(ISNUMBER(SEARCH("prompt",D445)),ISNUMBER(SEARCH("prompt",F445))),"Prompting help",
OR(ISNUMBER(SEARCH("role",D445)),ISNUMBER(SEARCH("scorecard",F445)),ISNUMBER(SEARCH("competenc",F445))),"Role and leadership advisory",
OR(ISNUMBER(SEARCH("meeting",F445)),ISNUMBER(SEARCH("notes",F445)),ISNUMBER(SEARCH("summary",F445))),"Meeting notes and summarization",
TRUE,"Other or fragmented"
)</f>
        <v>Meeting notes and summarization</v>
      </c>
      <c r="O445" s="3" t="s">
        <v>20</v>
      </c>
      <c r="P445" s="3"/>
    </row>
    <row r="446" spans="1:16" x14ac:dyDescent="0.25">
      <c r="A446" t="s">
        <v>15</v>
      </c>
      <c r="B446" s="1">
        <v>45992</v>
      </c>
      <c r="C446" s="1">
        <v>46022</v>
      </c>
      <c r="D446" t="s">
        <v>657</v>
      </c>
      <c r="E446" t="s">
        <v>17</v>
      </c>
      <c r="F446" t="s">
        <v>658</v>
      </c>
      <c r="G446">
        <v>0</v>
      </c>
      <c r="J446">
        <v>0</v>
      </c>
      <c r="K446">
        <v>0</v>
      </c>
      <c r="L446" t="s">
        <v>654</v>
      </c>
      <c r="M446" s="9" t="s">
        <v>19</v>
      </c>
      <c r="N446" s="3" t="str" cm="1">
        <f t="array" ref="N446">_xlfn.IFS(
OR(ISNUMBER(SEARCH("email",D446)),ISNUMBER(SEARCH("email",F446)),ISNUMBER(SEARCH("polish",D446)),ISNUMBER(SEARCH("rewrite",F446)),ISNUMBER(SEARCH("copy",F446))),"Writing and comms",
OR(ISNUMBER(SEARCH("research",F446)),ISNUMBER(SEARCH("intel",F446)),ISNUMBER(SEARCH("company",D446)),ISNUMBER(SEARCH("digger",D446))),"Research and intel",
OR(ISNUMBER(SEARCH("prompt",D446)),ISNUMBER(SEARCH("prompt",F446))),"Prompting help",
OR(ISNUMBER(SEARCH("role",D446)),ISNUMBER(SEARCH("scorecard",F446)),ISNUMBER(SEARCH("competenc",F446))),"Role and leadership advisory",
OR(ISNUMBER(SEARCH("meeting",F446)),ISNUMBER(SEARCH("notes",F446)),ISNUMBER(SEARCH("summary",F446))),"Meeting notes and summarization",
TRUE,"Other or fragmented"
)</f>
        <v>Other or fragmented</v>
      </c>
      <c r="O446" s="3" t="s">
        <v>20</v>
      </c>
      <c r="P446" s="3"/>
    </row>
    <row r="447" spans="1:16" x14ac:dyDescent="0.25">
      <c r="A447" t="s">
        <v>15</v>
      </c>
      <c r="B447" s="1">
        <v>45992</v>
      </c>
      <c r="C447" s="1">
        <v>46022</v>
      </c>
      <c r="E447" t="s">
        <v>24</v>
      </c>
      <c r="F447" t="s">
        <v>659</v>
      </c>
      <c r="G447">
        <v>0</v>
      </c>
      <c r="J447">
        <v>0</v>
      </c>
      <c r="K447">
        <v>0</v>
      </c>
      <c r="L447" t="s">
        <v>654</v>
      </c>
      <c r="M447" s="10" t="s">
        <v>19</v>
      </c>
      <c r="N447" s="3" t="str" cm="1">
        <f t="array" ref="N447">_xlfn.IFS(
OR(ISNUMBER(SEARCH("email",D447)),ISNUMBER(SEARCH("email",F447)),ISNUMBER(SEARCH("polish",D447)),ISNUMBER(SEARCH("rewrite",F447)),ISNUMBER(SEARCH("copy",F447))),"Writing and comms",
OR(ISNUMBER(SEARCH("research",F447)),ISNUMBER(SEARCH("intel",F447)),ISNUMBER(SEARCH("company",D447)),ISNUMBER(SEARCH("digger",D447))),"Research and intel",
OR(ISNUMBER(SEARCH("prompt",D447)),ISNUMBER(SEARCH("prompt",F447))),"Prompting help",
OR(ISNUMBER(SEARCH("role",D447)),ISNUMBER(SEARCH("scorecard",F447)),ISNUMBER(SEARCH("competenc",F447))),"Role and leadership advisory",
OR(ISNUMBER(SEARCH("meeting",F447)),ISNUMBER(SEARCH("notes",F447)),ISNUMBER(SEARCH("summary",F447))),"Meeting notes and summarization",
TRUE,"Other or fragmented"
)</f>
        <v>Other or fragmented</v>
      </c>
      <c r="O447" s="3" t="s">
        <v>20</v>
      </c>
      <c r="P447" s="3"/>
    </row>
    <row r="448" spans="1:16" x14ac:dyDescent="0.25">
      <c r="A448" t="s">
        <v>15</v>
      </c>
      <c r="B448" s="1">
        <v>45992</v>
      </c>
      <c r="C448" s="1">
        <v>46022</v>
      </c>
      <c r="E448" t="s">
        <v>24</v>
      </c>
      <c r="F448" t="s">
        <v>660</v>
      </c>
      <c r="G448">
        <v>0</v>
      </c>
      <c r="J448">
        <v>0</v>
      </c>
      <c r="K448">
        <v>0</v>
      </c>
      <c r="L448" t="s">
        <v>654</v>
      </c>
      <c r="M448" s="9" t="s">
        <v>19</v>
      </c>
      <c r="N448" s="3" t="str" cm="1">
        <f t="array" ref="N448">_xlfn.IFS(
OR(ISNUMBER(SEARCH("email",D448)),ISNUMBER(SEARCH("email",F448)),ISNUMBER(SEARCH("polish",D448)),ISNUMBER(SEARCH("rewrite",F448)),ISNUMBER(SEARCH("copy",F448))),"Writing and comms",
OR(ISNUMBER(SEARCH("research",F448)),ISNUMBER(SEARCH("intel",F448)),ISNUMBER(SEARCH("company",D448)),ISNUMBER(SEARCH("digger",D448))),"Research and intel",
OR(ISNUMBER(SEARCH("prompt",D448)),ISNUMBER(SEARCH("prompt",F448))),"Prompting help",
OR(ISNUMBER(SEARCH("role",D448)),ISNUMBER(SEARCH("scorecard",F448)),ISNUMBER(SEARCH("competenc",F448))),"Role and leadership advisory",
OR(ISNUMBER(SEARCH("meeting",F448)),ISNUMBER(SEARCH("notes",F448)),ISNUMBER(SEARCH("summary",F448))),"Meeting notes and summarization",
TRUE,"Other or fragmented"
)</f>
        <v>Other or fragmented</v>
      </c>
      <c r="O448" s="3" t="s">
        <v>20</v>
      </c>
      <c r="P448" s="3"/>
    </row>
    <row r="449" spans="1:16" x14ac:dyDescent="0.25">
      <c r="A449" t="s">
        <v>15</v>
      </c>
      <c r="B449" s="1">
        <v>45992</v>
      </c>
      <c r="C449" s="1">
        <v>46022</v>
      </c>
      <c r="E449" t="s">
        <v>24</v>
      </c>
      <c r="G449">
        <v>0</v>
      </c>
      <c r="J449">
        <v>0</v>
      </c>
      <c r="K449">
        <v>0</v>
      </c>
      <c r="L449" t="s">
        <v>661</v>
      </c>
      <c r="M449" s="10" t="s">
        <v>19</v>
      </c>
      <c r="N449" s="3" t="str" cm="1">
        <f t="array" ref="N449">_xlfn.IFS(
OR(ISNUMBER(SEARCH("email",D449)),ISNUMBER(SEARCH("email",F449)),ISNUMBER(SEARCH("polish",D449)),ISNUMBER(SEARCH("rewrite",F449)),ISNUMBER(SEARCH("copy",F449))),"Writing and comms",
OR(ISNUMBER(SEARCH("research",F449)),ISNUMBER(SEARCH("intel",F449)),ISNUMBER(SEARCH("company",D449)),ISNUMBER(SEARCH("digger",D449))),"Research and intel",
OR(ISNUMBER(SEARCH("prompt",D449)),ISNUMBER(SEARCH("prompt",F449))),"Prompting help",
OR(ISNUMBER(SEARCH("role",D449)),ISNUMBER(SEARCH("scorecard",F449)),ISNUMBER(SEARCH("competenc",F449))),"Role and leadership advisory",
OR(ISNUMBER(SEARCH("meeting",F449)),ISNUMBER(SEARCH("notes",F449)),ISNUMBER(SEARCH("summary",F449))),"Meeting notes and summarization",
TRUE,"Other or fragmented"
)</f>
        <v>Other or fragmented</v>
      </c>
      <c r="O449" s="3" t="s">
        <v>20</v>
      </c>
      <c r="P449" s="3"/>
    </row>
    <row r="450" spans="1:16" x14ac:dyDescent="0.25">
      <c r="A450" t="s">
        <v>15</v>
      </c>
      <c r="B450" s="1">
        <v>45992</v>
      </c>
      <c r="C450" s="1">
        <v>46022</v>
      </c>
      <c r="D450" t="s">
        <v>662</v>
      </c>
      <c r="E450" t="s">
        <v>17</v>
      </c>
      <c r="F450" t="s">
        <v>663</v>
      </c>
      <c r="G450">
        <v>1</v>
      </c>
      <c r="H450" s="1">
        <v>45992</v>
      </c>
      <c r="I450" s="1">
        <v>46010</v>
      </c>
      <c r="J450">
        <v>124</v>
      </c>
      <c r="K450">
        <v>5</v>
      </c>
      <c r="L450" t="s">
        <v>664</v>
      </c>
      <c r="M450" s="9" t="s">
        <v>19</v>
      </c>
      <c r="N450" s="3" t="str" cm="1">
        <f t="array" ref="N450">_xlfn.IFS(
OR(ISNUMBER(SEARCH("email",D450)),ISNUMBER(SEARCH("email",F450)),ISNUMBER(SEARCH("polish",D450)),ISNUMBER(SEARCH("rewrite",F450)),ISNUMBER(SEARCH("copy",F450))),"Writing and comms",
OR(ISNUMBER(SEARCH("research",F450)),ISNUMBER(SEARCH("intel",F450)),ISNUMBER(SEARCH("company",D450)),ISNUMBER(SEARCH("digger",D450))),"Research and intel",
OR(ISNUMBER(SEARCH("prompt",D450)),ISNUMBER(SEARCH("prompt",F450))),"Prompting help",
OR(ISNUMBER(SEARCH("role",D450)),ISNUMBER(SEARCH("scorecard",F450)),ISNUMBER(SEARCH("competenc",F450))),"Role and leadership advisory",
OR(ISNUMBER(SEARCH("meeting",F450)),ISNUMBER(SEARCH("notes",F450)),ISNUMBER(SEARCH("summary",F450))),"Meeting notes and summarization",
TRUE,"Other or fragmented"
)</f>
        <v>Meeting notes and summarization</v>
      </c>
      <c r="O450" s="3" t="s">
        <v>20</v>
      </c>
      <c r="P450" s="3"/>
    </row>
    <row r="451" spans="1:16" x14ac:dyDescent="0.25">
      <c r="A451" t="s">
        <v>15</v>
      </c>
      <c r="B451" s="1">
        <v>45992</v>
      </c>
      <c r="C451" s="1">
        <v>46022</v>
      </c>
      <c r="E451" t="s">
        <v>24</v>
      </c>
      <c r="G451">
        <v>0</v>
      </c>
      <c r="J451">
        <v>0</v>
      </c>
      <c r="K451">
        <v>0</v>
      </c>
      <c r="L451" t="s">
        <v>665</v>
      </c>
      <c r="M451" s="10" t="s">
        <v>19</v>
      </c>
      <c r="N451" s="3" t="str" cm="1">
        <f t="array" ref="N451">_xlfn.IFS(
OR(ISNUMBER(SEARCH("email",D451)),ISNUMBER(SEARCH("email",F451)),ISNUMBER(SEARCH("polish",D451)),ISNUMBER(SEARCH("rewrite",F451)),ISNUMBER(SEARCH("copy",F451))),"Writing and comms",
OR(ISNUMBER(SEARCH("research",F451)),ISNUMBER(SEARCH("intel",F451)),ISNUMBER(SEARCH("company",D451)),ISNUMBER(SEARCH("digger",D451))),"Research and intel",
OR(ISNUMBER(SEARCH("prompt",D451)),ISNUMBER(SEARCH("prompt",F451))),"Prompting help",
OR(ISNUMBER(SEARCH("role",D451)),ISNUMBER(SEARCH("scorecard",F451)),ISNUMBER(SEARCH("competenc",F451))),"Role and leadership advisory",
OR(ISNUMBER(SEARCH("meeting",F451)),ISNUMBER(SEARCH("notes",F451)),ISNUMBER(SEARCH("summary",F451))),"Meeting notes and summarization",
TRUE,"Other or fragmented"
)</f>
        <v>Other or fragmented</v>
      </c>
      <c r="O451" s="3" t="s">
        <v>20</v>
      </c>
      <c r="P451" s="3"/>
    </row>
    <row r="452" spans="1:16" x14ac:dyDescent="0.25">
      <c r="A452" t="s">
        <v>15</v>
      </c>
      <c r="B452" s="1">
        <v>45992</v>
      </c>
      <c r="C452" s="1">
        <v>46022</v>
      </c>
      <c r="D452" t="s">
        <v>666</v>
      </c>
      <c r="E452" t="s">
        <v>24</v>
      </c>
      <c r="F452" t="s">
        <v>667</v>
      </c>
      <c r="G452">
        <v>1</v>
      </c>
      <c r="H452" s="1">
        <v>46009</v>
      </c>
      <c r="I452" s="1">
        <v>46009</v>
      </c>
      <c r="J452">
        <v>2</v>
      </c>
      <c r="K452">
        <v>1</v>
      </c>
      <c r="L452" t="s">
        <v>668</v>
      </c>
      <c r="M452" s="9" t="s">
        <v>19</v>
      </c>
      <c r="N452" s="3" t="str" cm="1">
        <f t="array" ref="N452">_xlfn.IFS(
OR(ISNUMBER(SEARCH("email",D452)),ISNUMBER(SEARCH("email",F452)),ISNUMBER(SEARCH("polish",D452)),ISNUMBER(SEARCH("rewrite",F452)),ISNUMBER(SEARCH("copy",F452))),"Writing and comms",
OR(ISNUMBER(SEARCH("research",F452)),ISNUMBER(SEARCH("intel",F452)),ISNUMBER(SEARCH("company",D452)),ISNUMBER(SEARCH("digger",D452))),"Research and intel",
OR(ISNUMBER(SEARCH("prompt",D452)),ISNUMBER(SEARCH("prompt",F452))),"Prompting help",
OR(ISNUMBER(SEARCH("role",D452)),ISNUMBER(SEARCH("scorecard",F452)),ISNUMBER(SEARCH("competenc",F452))),"Role and leadership advisory",
OR(ISNUMBER(SEARCH("meeting",F452)),ISNUMBER(SEARCH("notes",F452)),ISNUMBER(SEARCH("summary",F452))),"Meeting notes and summarization",
TRUE,"Other or fragmented"
)</f>
        <v>Meeting notes and summarization</v>
      </c>
      <c r="O452" s="3" t="s">
        <v>20</v>
      </c>
      <c r="P452" s="3"/>
    </row>
    <row r="453" spans="1:16" x14ac:dyDescent="0.25">
      <c r="A453" t="s">
        <v>15</v>
      </c>
      <c r="B453" s="1">
        <v>45992</v>
      </c>
      <c r="C453" s="1">
        <v>46022</v>
      </c>
      <c r="E453" t="s">
        <v>24</v>
      </c>
      <c r="G453">
        <v>0</v>
      </c>
      <c r="J453">
        <v>0</v>
      </c>
      <c r="K453">
        <v>0</v>
      </c>
      <c r="L453" t="s">
        <v>668</v>
      </c>
      <c r="M453" s="10" t="s">
        <v>19</v>
      </c>
      <c r="N453" s="3" t="str" cm="1">
        <f t="array" ref="N453">_xlfn.IFS(
OR(ISNUMBER(SEARCH("email",D453)),ISNUMBER(SEARCH("email",F453)),ISNUMBER(SEARCH("polish",D453)),ISNUMBER(SEARCH("rewrite",F453)),ISNUMBER(SEARCH("copy",F453))),"Writing and comms",
OR(ISNUMBER(SEARCH("research",F453)),ISNUMBER(SEARCH("intel",F453)),ISNUMBER(SEARCH("company",D453)),ISNUMBER(SEARCH("digger",D453))),"Research and intel",
OR(ISNUMBER(SEARCH("prompt",D453)),ISNUMBER(SEARCH("prompt",F453))),"Prompting help",
OR(ISNUMBER(SEARCH("role",D453)),ISNUMBER(SEARCH("scorecard",F453)),ISNUMBER(SEARCH("competenc",F453))),"Role and leadership advisory",
OR(ISNUMBER(SEARCH("meeting",F453)),ISNUMBER(SEARCH("notes",F453)),ISNUMBER(SEARCH("summary",F453))),"Meeting notes and summarization",
TRUE,"Other or fragmented"
)</f>
        <v>Other or fragmented</v>
      </c>
      <c r="O453" s="3" t="s">
        <v>20</v>
      </c>
      <c r="P453" s="3"/>
    </row>
    <row r="454" spans="1:16" x14ac:dyDescent="0.25">
      <c r="A454" t="s">
        <v>15</v>
      </c>
      <c r="B454" s="1">
        <v>45992</v>
      </c>
      <c r="C454" s="1">
        <v>46022</v>
      </c>
      <c r="D454" t="s">
        <v>669</v>
      </c>
      <c r="E454" t="s">
        <v>17</v>
      </c>
      <c r="F454" t="s">
        <v>670</v>
      </c>
      <c r="G454">
        <v>1</v>
      </c>
      <c r="H454" s="1">
        <v>45992</v>
      </c>
      <c r="I454" s="1">
        <v>46014</v>
      </c>
      <c r="J454">
        <v>40</v>
      </c>
      <c r="K454">
        <v>1</v>
      </c>
      <c r="L454" t="s">
        <v>671</v>
      </c>
      <c r="M454" s="9" t="s">
        <v>19</v>
      </c>
      <c r="N454" s="3" t="str" cm="1">
        <f t="array" ref="N454">_xlfn.IFS(
OR(ISNUMBER(SEARCH("email",D454)),ISNUMBER(SEARCH("email",F454)),ISNUMBER(SEARCH("polish",D454)),ISNUMBER(SEARCH("rewrite",F454)),ISNUMBER(SEARCH("copy",F454))),"Writing and comms",
OR(ISNUMBER(SEARCH("research",F454)),ISNUMBER(SEARCH("intel",F454)),ISNUMBER(SEARCH("company",D454)),ISNUMBER(SEARCH("digger",D454))),"Research and intel",
OR(ISNUMBER(SEARCH("prompt",D454)),ISNUMBER(SEARCH("prompt",F454))),"Prompting help",
OR(ISNUMBER(SEARCH("role",D454)),ISNUMBER(SEARCH("scorecard",F454)),ISNUMBER(SEARCH("competenc",F454))),"Role and leadership advisory",
OR(ISNUMBER(SEARCH("meeting",F454)),ISNUMBER(SEARCH("notes",F454)),ISNUMBER(SEARCH("summary",F454))),"Meeting notes and summarization",
TRUE,"Other or fragmented"
)</f>
        <v>Other or fragmented</v>
      </c>
      <c r="O454" s="3" t="s">
        <v>20</v>
      </c>
      <c r="P454" s="3"/>
    </row>
    <row r="455" spans="1:16" x14ac:dyDescent="0.25">
      <c r="A455" t="s">
        <v>15</v>
      </c>
      <c r="B455" s="1">
        <v>45992</v>
      </c>
      <c r="C455" s="1">
        <v>46022</v>
      </c>
      <c r="E455" t="s">
        <v>24</v>
      </c>
      <c r="G455">
        <v>0</v>
      </c>
      <c r="J455">
        <v>0</v>
      </c>
      <c r="K455">
        <v>0</v>
      </c>
      <c r="L455" t="s">
        <v>671</v>
      </c>
      <c r="M455" s="10" t="s">
        <v>19</v>
      </c>
      <c r="N455" s="3" t="str" cm="1">
        <f t="array" ref="N455">_xlfn.IFS(
OR(ISNUMBER(SEARCH("email",D455)),ISNUMBER(SEARCH("email",F455)),ISNUMBER(SEARCH("polish",D455)),ISNUMBER(SEARCH("rewrite",F455)),ISNUMBER(SEARCH("copy",F455))),"Writing and comms",
OR(ISNUMBER(SEARCH("research",F455)),ISNUMBER(SEARCH("intel",F455)),ISNUMBER(SEARCH("company",D455)),ISNUMBER(SEARCH("digger",D455))),"Research and intel",
OR(ISNUMBER(SEARCH("prompt",D455)),ISNUMBER(SEARCH("prompt",F455))),"Prompting help",
OR(ISNUMBER(SEARCH("role",D455)),ISNUMBER(SEARCH("scorecard",F455)),ISNUMBER(SEARCH("competenc",F455))),"Role and leadership advisory",
OR(ISNUMBER(SEARCH("meeting",F455)),ISNUMBER(SEARCH("notes",F455)),ISNUMBER(SEARCH("summary",F455))),"Meeting notes and summarization",
TRUE,"Other or fragmented"
)</f>
        <v>Other or fragmented</v>
      </c>
      <c r="O455" s="3" t="s">
        <v>20</v>
      </c>
      <c r="P455" s="3"/>
    </row>
    <row r="456" spans="1:16" x14ac:dyDescent="0.25">
      <c r="A456" t="s">
        <v>15</v>
      </c>
      <c r="B456" s="1">
        <v>45992</v>
      </c>
      <c r="C456" s="1">
        <v>46022</v>
      </c>
      <c r="D456" t="s">
        <v>672</v>
      </c>
      <c r="E456" t="s">
        <v>17</v>
      </c>
      <c r="F456" t="s">
        <v>673</v>
      </c>
      <c r="G456">
        <v>0</v>
      </c>
      <c r="J456">
        <v>0</v>
      </c>
      <c r="K456">
        <v>0</v>
      </c>
      <c r="L456" t="s">
        <v>671</v>
      </c>
      <c r="M456" s="9" t="s">
        <v>19</v>
      </c>
      <c r="N456" s="3" t="str" cm="1">
        <f t="array" ref="N456">_xlfn.IFS(
OR(ISNUMBER(SEARCH("email",D456)),ISNUMBER(SEARCH("email",F456)),ISNUMBER(SEARCH("polish",D456)),ISNUMBER(SEARCH("rewrite",F456)),ISNUMBER(SEARCH("copy",F456))),"Writing and comms",
OR(ISNUMBER(SEARCH("research",F456)),ISNUMBER(SEARCH("intel",F456)),ISNUMBER(SEARCH("company",D456)),ISNUMBER(SEARCH("digger",D456))),"Research and intel",
OR(ISNUMBER(SEARCH("prompt",D456)),ISNUMBER(SEARCH("prompt",F456))),"Prompting help",
OR(ISNUMBER(SEARCH("role",D456)),ISNUMBER(SEARCH("scorecard",F456)),ISNUMBER(SEARCH("competenc",F456))),"Role and leadership advisory",
OR(ISNUMBER(SEARCH("meeting",F456)),ISNUMBER(SEARCH("notes",F456)),ISNUMBER(SEARCH("summary",F456))),"Meeting notes and summarization",
TRUE,"Other or fragmented"
)</f>
        <v>Meeting notes and summarization</v>
      </c>
      <c r="O456" s="3" t="s">
        <v>20</v>
      </c>
      <c r="P456" s="3"/>
    </row>
    <row r="457" spans="1:16" x14ac:dyDescent="0.25">
      <c r="A457" t="s">
        <v>15</v>
      </c>
      <c r="B457" s="1">
        <v>45992</v>
      </c>
      <c r="C457" s="1">
        <v>46022</v>
      </c>
      <c r="D457" t="s">
        <v>674</v>
      </c>
      <c r="E457" t="s">
        <v>24</v>
      </c>
      <c r="F457" t="s">
        <v>675</v>
      </c>
      <c r="G457">
        <v>0</v>
      </c>
      <c r="J457">
        <v>0</v>
      </c>
      <c r="K457">
        <v>0</v>
      </c>
      <c r="L457" t="s">
        <v>671</v>
      </c>
      <c r="M457" s="10" t="s">
        <v>19</v>
      </c>
      <c r="N457" s="3" t="str" cm="1">
        <f t="array" ref="N457">_xlfn.IFS(
OR(ISNUMBER(SEARCH("email",D457)),ISNUMBER(SEARCH("email",F457)),ISNUMBER(SEARCH("polish",D457)),ISNUMBER(SEARCH("rewrite",F457)),ISNUMBER(SEARCH("copy",F457))),"Writing and comms",
OR(ISNUMBER(SEARCH("research",F457)),ISNUMBER(SEARCH("intel",F457)),ISNUMBER(SEARCH("company",D457)),ISNUMBER(SEARCH("digger",D457))),"Research and intel",
OR(ISNUMBER(SEARCH("prompt",D457)),ISNUMBER(SEARCH("prompt",F457))),"Prompting help",
OR(ISNUMBER(SEARCH("role",D457)),ISNUMBER(SEARCH("scorecard",F457)),ISNUMBER(SEARCH("competenc",F457))),"Role and leadership advisory",
OR(ISNUMBER(SEARCH("meeting",F457)),ISNUMBER(SEARCH("notes",F457)),ISNUMBER(SEARCH("summary",F457))),"Meeting notes and summarization",
TRUE,"Other or fragmented"
)</f>
        <v>Writing and comms</v>
      </c>
      <c r="O457" s="3" t="s">
        <v>20</v>
      </c>
      <c r="P457" s="3"/>
    </row>
    <row r="458" spans="1:16" x14ac:dyDescent="0.25">
      <c r="A458" t="s">
        <v>15</v>
      </c>
      <c r="B458" s="1">
        <v>45992</v>
      </c>
      <c r="C458" s="1">
        <v>46022</v>
      </c>
      <c r="D458" t="s">
        <v>676</v>
      </c>
      <c r="E458" t="s">
        <v>17</v>
      </c>
      <c r="F458" t="s">
        <v>677</v>
      </c>
      <c r="G458">
        <v>0</v>
      </c>
      <c r="J458">
        <v>0</v>
      </c>
      <c r="K458">
        <v>0</v>
      </c>
      <c r="L458" t="s">
        <v>671</v>
      </c>
      <c r="M458" s="9" t="s">
        <v>19</v>
      </c>
      <c r="N458" s="3" t="str" cm="1">
        <f t="array" ref="N458">_xlfn.IFS(
OR(ISNUMBER(SEARCH("email",D458)),ISNUMBER(SEARCH("email",F458)),ISNUMBER(SEARCH("polish",D458)),ISNUMBER(SEARCH("rewrite",F458)),ISNUMBER(SEARCH("copy",F458))),"Writing and comms",
OR(ISNUMBER(SEARCH("research",F458)),ISNUMBER(SEARCH("intel",F458)),ISNUMBER(SEARCH("company",D458)),ISNUMBER(SEARCH("digger",D458))),"Research and intel",
OR(ISNUMBER(SEARCH("prompt",D458)),ISNUMBER(SEARCH("prompt",F458))),"Prompting help",
OR(ISNUMBER(SEARCH("role",D458)),ISNUMBER(SEARCH("scorecard",F458)),ISNUMBER(SEARCH("competenc",F458))),"Role and leadership advisory",
OR(ISNUMBER(SEARCH("meeting",F458)),ISNUMBER(SEARCH("notes",F458)),ISNUMBER(SEARCH("summary",F458))),"Meeting notes and summarization",
TRUE,"Other or fragmented"
)</f>
        <v>Writing and comms</v>
      </c>
      <c r="O458" s="3" t="s">
        <v>20</v>
      </c>
      <c r="P458" s="3"/>
    </row>
    <row r="459" spans="1:16" x14ac:dyDescent="0.25">
      <c r="A459" t="s">
        <v>15</v>
      </c>
      <c r="B459" s="1">
        <v>45992</v>
      </c>
      <c r="C459" s="1">
        <v>46022</v>
      </c>
      <c r="E459" t="s">
        <v>24</v>
      </c>
      <c r="F459" t="s">
        <v>678</v>
      </c>
      <c r="G459">
        <v>0</v>
      </c>
      <c r="J459">
        <v>0</v>
      </c>
      <c r="K459">
        <v>0</v>
      </c>
      <c r="L459" t="s">
        <v>671</v>
      </c>
      <c r="M459" s="10" t="s">
        <v>19</v>
      </c>
      <c r="N459" s="3" t="str" cm="1">
        <f t="array" ref="N459">_xlfn.IFS(
OR(ISNUMBER(SEARCH("email",D459)),ISNUMBER(SEARCH("email",F459)),ISNUMBER(SEARCH("polish",D459)),ISNUMBER(SEARCH("rewrite",F459)),ISNUMBER(SEARCH("copy",F459))),"Writing and comms",
OR(ISNUMBER(SEARCH("research",F459)),ISNUMBER(SEARCH("intel",F459)),ISNUMBER(SEARCH("company",D459)),ISNUMBER(SEARCH("digger",D459))),"Research and intel",
OR(ISNUMBER(SEARCH("prompt",D459)),ISNUMBER(SEARCH("prompt",F459))),"Prompting help",
OR(ISNUMBER(SEARCH("role",D459)),ISNUMBER(SEARCH("scorecard",F459)),ISNUMBER(SEARCH("competenc",F459))),"Role and leadership advisory",
OR(ISNUMBER(SEARCH("meeting",F459)),ISNUMBER(SEARCH("notes",F459)),ISNUMBER(SEARCH("summary",F459))),"Meeting notes and summarization",
TRUE,"Other or fragmented"
)</f>
        <v>Other or fragmented</v>
      </c>
      <c r="O459" s="3" t="s">
        <v>20</v>
      </c>
      <c r="P459" s="3"/>
    </row>
    <row r="460" spans="1:16" x14ac:dyDescent="0.25">
      <c r="A460" t="s">
        <v>15</v>
      </c>
      <c r="B460" s="1">
        <v>45992</v>
      </c>
      <c r="C460" s="1">
        <v>46022</v>
      </c>
      <c r="E460" t="s">
        <v>24</v>
      </c>
      <c r="F460" t="s">
        <v>679</v>
      </c>
      <c r="G460">
        <v>0</v>
      </c>
      <c r="J460">
        <v>0</v>
      </c>
      <c r="K460">
        <v>0</v>
      </c>
      <c r="L460" t="s">
        <v>671</v>
      </c>
      <c r="M460" s="9" t="s">
        <v>19</v>
      </c>
      <c r="N460" s="3" t="str" cm="1">
        <f t="array" ref="N460">_xlfn.IFS(
OR(ISNUMBER(SEARCH("email",D460)),ISNUMBER(SEARCH("email",F460)),ISNUMBER(SEARCH("polish",D460)),ISNUMBER(SEARCH("rewrite",F460)),ISNUMBER(SEARCH("copy",F460))),"Writing and comms",
OR(ISNUMBER(SEARCH("research",F460)),ISNUMBER(SEARCH("intel",F460)),ISNUMBER(SEARCH("company",D460)),ISNUMBER(SEARCH("digger",D460))),"Research and intel",
OR(ISNUMBER(SEARCH("prompt",D460)),ISNUMBER(SEARCH("prompt",F460))),"Prompting help",
OR(ISNUMBER(SEARCH("role",D460)),ISNUMBER(SEARCH("scorecard",F460)),ISNUMBER(SEARCH("competenc",F460))),"Role and leadership advisory",
OR(ISNUMBER(SEARCH("meeting",F460)),ISNUMBER(SEARCH("notes",F460)),ISNUMBER(SEARCH("summary",F460))),"Meeting notes and summarization",
TRUE,"Other or fragmented"
)</f>
        <v>Writing and comms</v>
      </c>
      <c r="O460" s="3" t="s">
        <v>20</v>
      </c>
      <c r="P460" s="3"/>
    </row>
    <row r="461" spans="1:16" x14ac:dyDescent="0.25">
      <c r="A461" t="s">
        <v>15</v>
      </c>
      <c r="B461" s="1">
        <v>45992</v>
      </c>
      <c r="C461" s="1">
        <v>46022</v>
      </c>
      <c r="D461" t="s">
        <v>680</v>
      </c>
      <c r="E461" t="s">
        <v>17</v>
      </c>
      <c r="F461" t="s">
        <v>681</v>
      </c>
      <c r="G461">
        <v>1</v>
      </c>
      <c r="H461" s="1">
        <v>45994</v>
      </c>
      <c r="I461" s="1">
        <v>46003</v>
      </c>
      <c r="J461">
        <v>23</v>
      </c>
      <c r="K461">
        <v>1</v>
      </c>
      <c r="L461" t="s">
        <v>682</v>
      </c>
      <c r="M461" s="10" t="s">
        <v>19</v>
      </c>
      <c r="N461" s="3" t="str" cm="1">
        <f t="array" ref="N461">_xlfn.IFS(
OR(ISNUMBER(SEARCH("email",D461)),ISNUMBER(SEARCH("email",F461)),ISNUMBER(SEARCH("polish",D461)),ISNUMBER(SEARCH("rewrite",F461)),ISNUMBER(SEARCH("copy",F461))),"Writing and comms",
OR(ISNUMBER(SEARCH("research",F461)),ISNUMBER(SEARCH("intel",F461)),ISNUMBER(SEARCH("company",D461)),ISNUMBER(SEARCH("digger",D461))),"Research and intel",
OR(ISNUMBER(SEARCH("prompt",D461)),ISNUMBER(SEARCH("prompt",F461))),"Prompting help",
OR(ISNUMBER(SEARCH("role",D461)),ISNUMBER(SEARCH("scorecard",F461)),ISNUMBER(SEARCH("competenc",F461))),"Role and leadership advisory",
OR(ISNUMBER(SEARCH("meeting",F461)),ISNUMBER(SEARCH("notes",F461)),ISNUMBER(SEARCH("summary",F461))),"Meeting notes and summarization",
TRUE,"Other or fragmented"
)</f>
        <v>Other or fragmented</v>
      </c>
      <c r="O461" s="3" t="s">
        <v>20</v>
      </c>
      <c r="P461" s="3"/>
    </row>
    <row r="462" spans="1:16" x14ac:dyDescent="0.25">
      <c r="A462" t="s">
        <v>15</v>
      </c>
      <c r="B462" s="1">
        <v>45992</v>
      </c>
      <c r="C462" s="1">
        <v>46022</v>
      </c>
      <c r="E462" t="s">
        <v>24</v>
      </c>
      <c r="G462">
        <v>0</v>
      </c>
      <c r="J462">
        <v>0</v>
      </c>
      <c r="K462">
        <v>0</v>
      </c>
      <c r="L462" t="s">
        <v>683</v>
      </c>
      <c r="M462" s="9" t="s">
        <v>19</v>
      </c>
      <c r="N462" s="3" t="str" cm="1">
        <f t="array" ref="N462">_xlfn.IFS(
OR(ISNUMBER(SEARCH("email",D462)),ISNUMBER(SEARCH("email",F462)),ISNUMBER(SEARCH("polish",D462)),ISNUMBER(SEARCH("rewrite",F462)),ISNUMBER(SEARCH("copy",F462))),"Writing and comms",
OR(ISNUMBER(SEARCH("research",F462)),ISNUMBER(SEARCH("intel",F462)),ISNUMBER(SEARCH("company",D462)),ISNUMBER(SEARCH("digger",D462))),"Research and intel",
OR(ISNUMBER(SEARCH("prompt",D462)),ISNUMBER(SEARCH("prompt",F462))),"Prompting help",
OR(ISNUMBER(SEARCH("role",D462)),ISNUMBER(SEARCH("scorecard",F462)),ISNUMBER(SEARCH("competenc",F462))),"Role and leadership advisory",
OR(ISNUMBER(SEARCH("meeting",F462)),ISNUMBER(SEARCH("notes",F462)),ISNUMBER(SEARCH("summary",F462))),"Meeting notes and summarization",
TRUE,"Other or fragmented"
)</f>
        <v>Other or fragmented</v>
      </c>
      <c r="O462" s="3" t="s">
        <v>20</v>
      </c>
      <c r="P462" s="3"/>
    </row>
    <row r="463" spans="1:16" x14ac:dyDescent="0.25">
      <c r="A463" t="s">
        <v>15</v>
      </c>
      <c r="B463" s="1">
        <v>45992</v>
      </c>
      <c r="C463" s="1">
        <v>46022</v>
      </c>
      <c r="E463" t="s">
        <v>24</v>
      </c>
      <c r="G463">
        <v>0</v>
      </c>
      <c r="J463">
        <v>0</v>
      </c>
      <c r="K463">
        <v>0</v>
      </c>
      <c r="L463" t="s">
        <v>684</v>
      </c>
      <c r="M463" s="10" t="s">
        <v>19</v>
      </c>
      <c r="N463" s="3" t="str" cm="1">
        <f t="array" ref="N463">_xlfn.IFS(
OR(ISNUMBER(SEARCH("email",D463)),ISNUMBER(SEARCH("email",F463)),ISNUMBER(SEARCH("polish",D463)),ISNUMBER(SEARCH("rewrite",F463)),ISNUMBER(SEARCH("copy",F463))),"Writing and comms",
OR(ISNUMBER(SEARCH("research",F463)),ISNUMBER(SEARCH("intel",F463)),ISNUMBER(SEARCH("company",D463)),ISNUMBER(SEARCH("digger",D463))),"Research and intel",
OR(ISNUMBER(SEARCH("prompt",D463)),ISNUMBER(SEARCH("prompt",F463))),"Prompting help",
OR(ISNUMBER(SEARCH("role",D463)),ISNUMBER(SEARCH("scorecard",F463)),ISNUMBER(SEARCH("competenc",F463))),"Role and leadership advisory",
OR(ISNUMBER(SEARCH("meeting",F463)),ISNUMBER(SEARCH("notes",F463)),ISNUMBER(SEARCH("summary",F463))),"Meeting notes and summarization",
TRUE,"Other or fragmented"
)</f>
        <v>Other or fragmented</v>
      </c>
      <c r="O463" s="3" t="s">
        <v>20</v>
      </c>
      <c r="P463" s="3"/>
    </row>
    <row r="464" spans="1:16" x14ac:dyDescent="0.25">
      <c r="A464" t="s">
        <v>15</v>
      </c>
      <c r="B464" s="1">
        <v>45992</v>
      </c>
      <c r="C464" s="1">
        <v>46022</v>
      </c>
      <c r="E464" t="s">
        <v>24</v>
      </c>
      <c r="G464">
        <v>0</v>
      </c>
      <c r="J464">
        <v>0</v>
      </c>
      <c r="K464">
        <v>0</v>
      </c>
      <c r="L464" t="s">
        <v>685</v>
      </c>
      <c r="M464" s="9" t="s">
        <v>19</v>
      </c>
      <c r="N464" s="3" t="str" cm="1">
        <f t="array" ref="N464">_xlfn.IFS(
OR(ISNUMBER(SEARCH("email",D464)),ISNUMBER(SEARCH("email",F464)),ISNUMBER(SEARCH("polish",D464)),ISNUMBER(SEARCH("rewrite",F464)),ISNUMBER(SEARCH("copy",F464))),"Writing and comms",
OR(ISNUMBER(SEARCH("research",F464)),ISNUMBER(SEARCH("intel",F464)),ISNUMBER(SEARCH("company",D464)),ISNUMBER(SEARCH("digger",D464))),"Research and intel",
OR(ISNUMBER(SEARCH("prompt",D464)),ISNUMBER(SEARCH("prompt",F464))),"Prompting help",
OR(ISNUMBER(SEARCH("role",D464)),ISNUMBER(SEARCH("scorecard",F464)),ISNUMBER(SEARCH("competenc",F464))),"Role and leadership advisory",
OR(ISNUMBER(SEARCH("meeting",F464)),ISNUMBER(SEARCH("notes",F464)),ISNUMBER(SEARCH("summary",F464))),"Meeting notes and summarization",
TRUE,"Other or fragmented"
)</f>
        <v>Other or fragmented</v>
      </c>
      <c r="O464" s="3" t="s">
        <v>20</v>
      </c>
      <c r="P464" s="3"/>
    </row>
    <row r="465" spans="1:16" x14ac:dyDescent="0.25">
      <c r="A465" t="s">
        <v>15</v>
      </c>
      <c r="B465" s="1">
        <v>45992</v>
      </c>
      <c r="C465" s="1">
        <v>46022</v>
      </c>
      <c r="E465" t="s">
        <v>24</v>
      </c>
      <c r="G465">
        <v>0</v>
      </c>
      <c r="J465">
        <v>0</v>
      </c>
      <c r="K465">
        <v>0</v>
      </c>
      <c r="L465" t="s">
        <v>686</v>
      </c>
      <c r="M465" s="10" t="s">
        <v>19</v>
      </c>
      <c r="N465" s="3" t="str" cm="1">
        <f t="array" ref="N465">_xlfn.IFS(
OR(ISNUMBER(SEARCH("email",D465)),ISNUMBER(SEARCH("email",F465)),ISNUMBER(SEARCH("polish",D465)),ISNUMBER(SEARCH("rewrite",F465)),ISNUMBER(SEARCH("copy",F465))),"Writing and comms",
OR(ISNUMBER(SEARCH("research",F465)),ISNUMBER(SEARCH("intel",F465)),ISNUMBER(SEARCH("company",D465)),ISNUMBER(SEARCH("digger",D465))),"Research and intel",
OR(ISNUMBER(SEARCH("prompt",D465)),ISNUMBER(SEARCH("prompt",F465))),"Prompting help",
OR(ISNUMBER(SEARCH("role",D465)),ISNUMBER(SEARCH("scorecard",F465)),ISNUMBER(SEARCH("competenc",F465))),"Role and leadership advisory",
OR(ISNUMBER(SEARCH("meeting",F465)),ISNUMBER(SEARCH("notes",F465)),ISNUMBER(SEARCH("summary",F465))),"Meeting notes and summarization",
TRUE,"Other or fragmented"
)</f>
        <v>Other or fragmented</v>
      </c>
      <c r="O465" s="3" t="s">
        <v>20</v>
      </c>
      <c r="P465" s="3"/>
    </row>
    <row r="466" spans="1:16" x14ac:dyDescent="0.25">
      <c r="A466" t="s">
        <v>15</v>
      </c>
      <c r="B466" s="1">
        <v>45992</v>
      </c>
      <c r="C466" s="1">
        <v>46022</v>
      </c>
      <c r="E466" t="s">
        <v>24</v>
      </c>
      <c r="G466">
        <v>0</v>
      </c>
      <c r="J466">
        <v>0</v>
      </c>
      <c r="K466">
        <v>0</v>
      </c>
      <c r="L466" t="s">
        <v>687</v>
      </c>
      <c r="M466" s="9" t="s">
        <v>19</v>
      </c>
      <c r="N466" s="3" t="str" cm="1">
        <f t="array" ref="N466">_xlfn.IFS(
OR(ISNUMBER(SEARCH("email",D466)),ISNUMBER(SEARCH("email",F466)),ISNUMBER(SEARCH("polish",D466)),ISNUMBER(SEARCH("rewrite",F466)),ISNUMBER(SEARCH("copy",F466))),"Writing and comms",
OR(ISNUMBER(SEARCH("research",F466)),ISNUMBER(SEARCH("intel",F466)),ISNUMBER(SEARCH("company",D466)),ISNUMBER(SEARCH("digger",D466))),"Research and intel",
OR(ISNUMBER(SEARCH("prompt",D466)),ISNUMBER(SEARCH("prompt",F466))),"Prompting help",
OR(ISNUMBER(SEARCH("role",D466)),ISNUMBER(SEARCH("scorecard",F466)),ISNUMBER(SEARCH("competenc",F466))),"Role and leadership advisory",
OR(ISNUMBER(SEARCH("meeting",F466)),ISNUMBER(SEARCH("notes",F466)),ISNUMBER(SEARCH("summary",F466))),"Meeting notes and summarization",
TRUE,"Other or fragmented"
)</f>
        <v>Other or fragmented</v>
      </c>
      <c r="O466" s="3" t="s">
        <v>20</v>
      </c>
      <c r="P466" s="3"/>
    </row>
    <row r="467" spans="1:16" x14ac:dyDescent="0.25">
      <c r="A467" t="s">
        <v>15</v>
      </c>
      <c r="B467" s="1">
        <v>45992</v>
      </c>
      <c r="C467" s="1">
        <v>46022</v>
      </c>
      <c r="D467" t="s">
        <v>688</v>
      </c>
      <c r="E467" t="s">
        <v>24</v>
      </c>
      <c r="G467">
        <v>0</v>
      </c>
      <c r="J467">
        <v>0</v>
      </c>
      <c r="K467">
        <v>0</v>
      </c>
      <c r="L467" t="s">
        <v>689</v>
      </c>
      <c r="M467" s="10" t="s">
        <v>19</v>
      </c>
      <c r="N467" s="3" t="str" cm="1">
        <f t="array" ref="N467">_xlfn.IFS(
OR(ISNUMBER(SEARCH("email",D467)),ISNUMBER(SEARCH("email",F467)),ISNUMBER(SEARCH("polish",D467)),ISNUMBER(SEARCH("rewrite",F467)),ISNUMBER(SEARCH("copy",F467))),"Writing and comms",
OR(ISNUMBER(SEARCH("research",F467)),ISNUMBER(SEARCH("intel",F467)),ISNUMBER(SEARCH("company",D467)),ISNUMBER(SEARCH("digger",D467))),"Research and intel",
OR(ISNUMBER(SEARCH("prompt",D467)),ISNUMBER(SEARCH("prompt",F467))),"Prompting help",
OR(ISNUMBER(SEARCH("role",D467)),ISNUMBER(SEARCH("scorecard",F467)),ISNUMBER(SEARCH("competenc",F467))),"Role and leadership advisory",
OR(ISNUMBER(SEARCH("meeting",F467)),ISNUMBER(SEARCH("notes",F467)),ISNUMBER(SEARCH("summary",F467))),"Meeting notes and summarization",
TRUE,"Other or fragmented"
)</f>
        <v>Other or fragmented</v>
      </c>
      <c r="O467" s="3" t="s">
        <v>20</v>
      </c>
      <c r="P467" s="3"/>
    </row>
    <row r="468" spans="1:16" x14ac:dyDescent="0.25">
      <c r="A468" t="s">
        <v>15</v>
      </c>
      <c r="B468" s="1">
        <v>45992</v>
      </c>
      <c r="C468" s="1">
        <v>46022</v>
      </c>
      <c r="E468" t="s">
        <v>24</v>
      </c>
      <c r="G468">
        <v>0</v>
      </c>
      <c r="J468">
        <v>0</v>
      </c>
      <c r="K468">
        <v>0</v>
      </c>
      <c r="L468" t="s">
        <v>689</v>
      </c>
      <c r="M468" s="9" t="s">
        <v>19</v>
      </c>
      <c r="N468" s="3" t="str" cm="1">
        <f t="array" ref="N468">_xlfn.IFS(
OR(ISNUMBER(SEARCH("email",D468)),ISNUMBER(SEARCH("email",F468)),ISNUMBER(SEARCH("polish",D468)),ISNUMBER(SEARCH("rewrite",F468)),ISNUMBER(SEARCH("copy",F468))),"Writing and comms",
OR(ISNUMBER(SEARCH("research",F468)),ISNUMBER(SEARCH("intel",F468)),ISNUMBER(SEARCH("company",D468)),ISNUMBER(SEARCH("digger",D468))),"Research and intel",
OR(ISNUMBER(SEARCH("prompt",D468)),ISNUMBER(SEARCH("prompt",F468))),"Prompting help",
OR(ISNUMBER(SEARCH("role",D468)),ISNUMBER(SEARCH("scorecard",F468)),ISNUMBER(SEARCH("competenc",F468))),"Role and leadership advisory",
OR(ISNUMBER(SEARCH("meeting",F468)),ISNUMBER(SEARCH("notes",F468)),ISNUMBER(SEARCH("summary",F468))),"Meeting notes and summarization",
TRUE,"Other or fragmented"
)</f>
        <v>Other or fragmented</v>
      </c>
      <c r="O468" s="3" t="s">
        <v>20</v>
      </c>
      <c r="P468" s="3"/>
    </row>
    <row r="469" spans="1:16" x14ac:dyDescent="0.25">
      <c r="A469" t="s">
        <v>15</v>
      </c>
      <c r="B469" s="1">
        <v>45992</v>
      </c>
      <c r="C469" s="1">
        <v>46022</v>
      </c>
      <c r="D469" t="s">
        <v>690</v>
      </c>
      <c r="E469" t="s">
        <v>17</v>
      </c>
      <c r="F469" t="s">
        <v>691</v>
      </c>
      <c r="G469">
        <v>1</v>
      </c>
      <c r="H469" s="1">
        <v>45992</v>
      </c>
      <c r="I469" s="1">
        <v>46008</v>
      </c>
      <c r="J469">
        <v>9</v>
      </c>
      <c r="K469">
        <v>2</v>
      </c>
      <c r="L469" t="s">
        <v>692</v>
      </c>
      <c r="M469" s="10" t="s">
        <v>19</v>
      </c>
      <c r="N469" s="3" t="str" cm="1">
        <f t="array" ref="N469">_xlfn.IFS(
OR(ISNUMBER(SEARCH("email",D469)),ISNUMBER(SEARCH("email",F469)),ISNUMBER(SEARCH("polish",D469)),ISNUMBER(SEARCH("rewrite",F469)),ISNUMBER(SEARCH("copy",F469))),"Writing and comms",
OR(ISNUMBER(SEARCH("research",F469)),ISNUMBER(SEARCH("intel",F469)),ISNUMBER(SEARCH("company",D469)),ISNUMBER(SEARCH("digger",D469))),"Research and intel",
OR(ISNUMBER(SEARCH("prompt",D469)),ISNUMBER(SEARCH("prompt",F469))),"Prompting help",
OR(ISNUMBER(SEARCH("role",D469)),ISNUMBER(SEARCH("scorecard",F469)),ISNUMBER(SEARCH("competenc",F469))),"Role and leadership advisory",
OR(ISNUMBER(SEARCH("meeting",F469)),ISNUMBER(SEARCH("notes",F469)),ISNUMBER(SEARCH("summary",F469))),"Meeting notes and summarization",
TRUE,"Other or fragmented"
)</f>
        <v>Other or fragmented</v>
      </c>
      <c r="O469" s="3" t="s">
        <v>20</v>
      </c>
      <c r="P469" s="3"/>
    </row>
    <row r="470" spans="1:16" x14ac:dyDescent="0.25">
      <c r="A470" t="s">
        <v>15</v>
      </c>
      <c r="B470" s="1">
        <v>45992</v>
      </c>
      <c r="C470" s="1">
        <v>46022</v>
      </c>
      <c r="D470" t="s">
        <v>693</v>
      </c>
      <c r="E470" t="s">
        <v>17</v>
      </c>
      <c r="F470" t="s">
        <v>694</v>
      </c>
      <c r="G470">
        <v>1</v>
      </c>
      <c r="H470" s="1">
        <v>46007</v>
      </c>
      <c r="I470" s="1">
        <v>46007</v>
      </c>
      <c r="J470">
        <v>7</v>
      </c>
      <c r="K470">
        <v>1</v>
      </c>
      <c r="L470" t="s">
        <v>692</v>
      </c>
      <c r="M470" s="9" t="s">
        <v>19</v>
      </c>
      <c r="N470" s="3" t="str" cm="1">
        <f t="array" ref="N470">_xlfn.IFS(
OR(ISNUMBER(SEARCH("email",D470)),ISNUMBER(SEARCH("email",F470)),ISNUMBER(SEARCH("polish",D470)),ISNUMBER(SEARCH("rewrite",F470)),ISNUMBER(SEARCH("copy",F470))),"Writing and comms",
OR(ISNUMBER(SEARCH("research",F470)),ISNUMBER(SEARCH("intel",F470)),ISNUMBER(SEARCH("company",D470)),ISNUMBER(SEARCH("digger",D470))),"Research and intel",
OR(ISNUMBER(SEARCH("prompt",D470)),ISNUMBER(SEARCH("prompt",F470))),"Prompting help",
OR(ISNUMBER(SEARCH("role",D470)),ISNUMBER(SEARCH("scorecard",F470)),ISNUMBER(SEARCH("competenc",F470))),"Role and leadership advisory",
OR(ISNUMBER(SEARCH("meeting",F470)),ISNUMBER(SEARCH("notes",F470)),ISNUMBER(SEARCH("summary",F470))),"Meeting notes and summarization",
TRUE,"Other or fragmented"
)</f>
        <v>Other or fragmented</v>
      </c>
      <c r="O470" s="3" t="s">
        <v>20</v>
      </c>
      <c r="P470" s="3"/>
    </row>
    <row r="471" spans="1:16" x14ac:dyDescent="0.25">
      <c r="A471" t="s">
        <v>15</v>
      </c>
      <c r="B471" s="1">
        <v>45992</v>
      </c>
      <c r="C471" s="1">
        <v>46022</v>
      </c>
      <c r="D471" t="s">
        <v>695</v>
      </c>
      <c r="E471" t="s">
        <v>17</v>
      </c>
      <c r="F471" t="s">
        <v>696</v>
      </c>
      <c r="G471">
        <v>1</v>
      </c>
      <c r="H471" s="1">
        <v>45992</v>
      </c>
      <c r="I471" s="1">
        <v>46009</v>
      </c>
      <c r="J471">
        <v>62</v>
      </c>
      <c r="K471">
        <v>1</v>
      </c>
      <c r="L471" t="s">
        <v>692</v>
      </c>
      <c r="M471" s="10" t="s">
        <v>19</v>
      </c>
      <c r="N471" s="3" t="str" cm="1">
        <f t="array" ref="N471">_xlfn.IFS(
OR(ISNUMBER(SEARCH("email",D471)),ISNUMBER(SEARCH("email",F471)),ISNUMBER(SEARCH("polish",D471)),ISNUMBER(SEARCH("rewrite",F471)),ISNUMBER(SEARCH("copy",F471))),"Writing and comms",
OR(ISNUMBER(SEARCH("research",F471)),ISNUMBER(SEARCH("intel",F471)),ISNUMBER(SEARCH("company",D471)),ISNUMBER(SEARCH("digger",D471))),"Research and intel",
OR(ISNUMBER(SEARCH("prompt",D471)),ISNUMBER(SEARCH("prompt",F471))),"Prompting help",
OR(ISNUMBER(SEARCH("role",D471)),ISNUMBER(SEARCH("scorecard",F471)),ISNUMBER(SEARCH("competenc",F471))),"Role and leadership advisory",
OR(ISNUMBER(SEARCH("meeting",F471)),ISNUMBER(SEARCH("notes",F471)),ISNUMBER(SEARCH("summary",F471))),"Meeting notes and summarization",
TRUE,"Other or fragmented"
)</f>
        <v>Meeting notes and summarization</v>
      </c>
      <c r="O471" s="3" t="s">
        <v>20</v>
      </c>
      <c r="P471" s="3"/>
    </row>
    <row r="472" spans="1:16" x14ac:dyDescent="0.25">
      <c r="A472" t="s">
        <v>15</v>
      </c>
      <c r="B472" s="1">
        <v>45992</v>
      </c>
      <c r="C472" s="1">
        <v>46022</v>
      </c>
      <c r="D472" t="s">
        <v>697</v>
      </c>
      <c r="E472" t="s">
        <v>17</v>
      </c>
      <c r="F472" t="s">
        <v>698</v>
      </c>
      <c r="G472">
        <v>0</v>
      </c>
      <c r="J472">
        <v>0</v>
      </c>
      <c r="K472">
        <v>0</v>
      </c>
      <c r="L472" t="s">
        <v>692</v>
      </c>
      <c r="M472" s="9" t="s">
        <v>19</v>
      </c>
      <c r="N472" s="3" t="str" cm="1">
        <f t="array" ref="N472">_xlfn.IFS(
OR(ISNUMBER(SEARCH("email",D472)),ISNUMBER(SEARCH("email",F472)),ISNUMBER(SEARCH("polish",D472)),ISNUMBER(SEARCH("rewrite",F472)),ISNUMBER(SEARCH("copy",F472))),"Writing and comms",
OR(ISNUMBER(SEARCH("research",F472)),ISNUMBER(SEARCH("intel",F472)),ISNUMBER(SEARCH("company",D472)),ISNUMBER(SEARCH("digger",D472))),"Research and intel",
OR(ISNUMBER(SEARCH("prompt",D472)),ISNUMBER(SEARCH("prompt",F472))),"Prompting help",
OR(ISNUMBER(SEARCH("role",D472)),ISNUMBER(SEARCH("scorecard",F472)),ISNUMBER(SEARCH("competenc",F472))),"Role and leadership advisory",
OR(ISNUMBER(SEARCH("meeting",F472)),ISNUMBER(SEARCH("notes",F472)),ISNUMBER(SEARCH("summary",F472))),"Meeting notes and summarization",
TRUE,"Other or fragmented"
)</f>
        <v>Meeting notes and summarization</v>
      </c>
      <c r="O472" s="3" t="s">
        <v>20</v>
      </c>
      <c r="P472" s="3"/>
    </row>
    <row r="473" spans="1:16" x14ac:dyDescent="0.25">
      <c r="A473" t="s">
        <v>15</v>
      </c>
      <c r="B473" s="1">
        <v>45992</v>
      </c>
      <c r="C473" s="1">
        <v>46022</v>
      </c>
      <c r="D473" t="s">
        <v>699</v>
      </c>
      <c r="E473" t="s">
        <v>24</v>
      </c>
      <c r="F473" t="s">
        <v>700</v>
      </c>
      <c r="G473">
        <v>1</v>
      </c>
      <c r="H473" s="1">
        <v>46003</v>
      </c>
      <c r="I473" s="1">
        <v>46003</v>
      </c>
      <c r="J473">
        <v>12</v>
      </c>
      <c r="K473">
        <v>1</v>
      </c>
      <c r="L473" t="s">
        <v>701</v>
      </c>
      <c r="M473" s="10" t="s">
        <v>19</v>
      </c>
      <c r="N473" s="3" t="str" cm="1">
        <f t="array" ref="N473">_xlfn.IFS(
OR(ISNUMBER(SEARCH("email",D473)),ISNUMBER(SEARCH("email",F473)),ISNUMBER(SEARCH("polish",D473)),ISNUMBER(SEARCH("rewrite",F473)),ISNUMBER(SEARCH("copy",F473))),"Writing and comms",
OR(ISNUMBER(SEARCH("research",F473)),ISNUMBER(SEARCH("intel",F473)),ISNUMBER(SEARCH("company",D473)),ISNUMBER(SEARCH("digger",D473))),"Research and intel",
OR(ISNUMBER(SEARCH("prompt",D473)),ISNUMBER(SEARCH("prompt",F473))),"Prompting help",
OR(ISNUMBER(SEARCH("role",D473)),ISNUMBER(SEARCH("scorecard",F473)),ISNUMBER(SEARCH("competenc",F473))),"Role and leadership advisory",
OR(ISNUMBER(SEARCH("meeting",F473)),ISNUMBER(SEARCH("notes",F473)),ISNUMBER(SEARCH("summary",F473))),"Meeting notes and summarization",
TRUE,"Other or fragmented"
)</f>
        <v>Other or fragmented</v>
      </c>
      <c r="O473" s="3" t="s">
        <v>20</v>
      </c>
      <c r="P473" s="3"/>
    </row>
    <row r="474" spans="1:16" x14ac:dyDescent="0.25">
      <c r="A474" t="s">
        <v>15</v>
      </c>
      <c r="B474" s="1">
        <v>45992</v>
      </c>
      <c r="C474" s="1">
        <v>46022</v>
      </c>
      <c r="D474" t="s">
        <v>702</v>
      </c>
      <c r="E474" t="s">
        <v>24</v>
      </c>
      <c r="F474" t="s">
        <v>703</v>
      </c>
      <c r="G474">
        <v>1</v>
      </c>
      <c r="H474" s="1">
        <v>46002</v>
      </c>
      <c r="I474" s="1">
        <v>46003</v>
      </c>
      <c r="J474">
        <v>17</v>
      </c>
      <c r="K474">
        <v>1</v>
      </c>
      <c r="L474" t="s">
        <v>701</v>
      </c>
      <c r="M474" s="9" t="s">
        <v>19</v>
      </c>
      <c r="N474" s="3" t="str" cm="1">
        <f t="array" ref="N474">_xlfn.IFS(
OR(ISNUMBER(SEARCH("email",D474)),ISNUMBER(SEARCH("email",F474)),ISNUMBER(SEARCH("polish",D474)),ISNUMBER(SEARCH("rewrite",F474)),ISNUMBER(SEARCH("copy",F474))),"Writing and comms",
OR(ISNUMBER(SEARCH("research",F474)),ISNUMBER(SEARCH("intel",F474)),ISNUMBER(SEARCH("company",D474)),ISNUMBER(SEARCH("digger",D474))),"Research and intel",
OR(ISNUMBER(SEARCH("prompt",D474)),ISNUMBER(SEARCH("prompt",F474))),"Prompting help",
OR(ISNUMBER(SEARCH("role",D474)),ISNUMBER(SEARCH("scorecard",F474)),ISNUMBER(SEARCH("competenc",F474))),"Role and leadership advisory",
OR(ISNUMBER(SEARCH("meeting",F474)),ISNUMBER(SEARCH("notes",F474)),ISNUMBER(SEARCH("summary",F474))),"Meeting notes and summarization",
TRUE,"Other or fragmented"
)</f>
        <v>Meeting notes and summarization</v>
      </c>
      <c r="O474" s="3" t="s">
        <v>20</v>
      </c>
      <c r="P474" s="3"/>
    </row>
    <row r="475" spans="1:16" x14ac:dyDescent="0.25">
      <c r="A475" t="s">
        <v>15</v>
      </c>
      <c r="B475" s="1">
        <v>45992</v>
      </c>
      <c r="C475" s="1">
        <v>46022</v>
      </c>
      <c r="E475" t="s">
        <v>24</v>
      </c>
      <c r="G475">
        <v>0</v>
      </c>
      <c r="J475">
        <v>0</v>
      </c>
      <c r="K475">
        <v>0</v>
      </c>
      <c r="L475" t="s">
        <v>704</v>
      </c>
      <c r="M475" s="10" t="s">
        <v>19</v>
      </c>
      <c r="N475" s="3" t="str" cm="1">
        <f t="array" ref="N475">_xlfn.IFS(
OR(ISNUMBER(SEARCH("email",D475)),ISNUMBER(SEARCH("email",F475)),ISNUMBER(SEARCH("polish",D475)),ISNUMBER(SEARCH("rewrite",F475)),ISNUMBER(SEARCH("copy",F475))),"Writing and comms",
OR(ISNUMBER(SEARCH("research",F475)),ISNUMBER(SEARCH("intel",F475)),ISNUMBER(SEARCH("company",D475)),ISNUMBER(SEARCH("digger",D475))),"Research and intel",
OR(ISNUMBER(SEARCH("prompt",D475)),ISNUMBER(SEARCH("prompt",F475))),"Prompting help",
OR(ISNUMBER(SEARCH("role",D475)),ISNUMBER(SEARCH("scorecard",F475)),ISNUMBER(SEARCH("competenc",F475))),"Role and leadership advisory",
OR(ISNUMBER(SEARCH("meeting",F475)),ISNUMBER(SEARCH("notes",F475)),ISNUMBER(SEARCH("summary",F475))),"Meeting notes and summarization",
TRUE,"Other or fragmented"
)</f>
        <v>Other or fragmented</v>
      </c>
      <c r="O475" s="3" t="s">
        <v>20</v>
      </c>
      <c r="P475" s="3"/>
    </row>
    <row r="476" spans="1:16" x14ac:dyDescent="0.25">
      <c r="A476" t="s">
        <v>15</v>
      </c>
      <c r="B476" s="1">
        <v>45992</v>
      </c>
      <c r="C476" s="1">
        <v>46022</v>
      </c>
      <c r="E476" t="s">
        <v>24</v>
      </c>
      <c r="G476">
        <v>0</v>
      </c>
      <c r="J476">
        <v>0</v>
      </c>
      <c r="K476">
        <v>0</v>
      </c>
      <c r="L476" t="s">
        <v>704</v>
      </c>
      <c r="M476" s="9" t="s">
        <v>19</v>
      </c>
      <c r="N476" s="3" t="str" cm="1">
        <f t="array" ref="N476">_xlfn.IFS(
OR(ISNUMBER(SEARCH("email",D476)),ISNUMBER(SEARCH("email",F476)),ISNUMBER(SEARCH("polish",D476)),ISNUMBER(SEARCH("rewrite",F476)),ISNUMBER(SEARCH("copy",F476))),"Writing and comms",
OR(ISNUMBER(SEARCH("research",F476)),ISNUMBER(SEARCH("intel",F476)),ISNUMBER(SEARCH("company",D476)),ISNUMBER(SEARCH("digger",D476))),"Research and intel",
OR(ISNUMBER(SEARCH("prompt",D476)),ISNUMBER(SEARCH("prompt",F476))),"Prompting help",
OR(ISNUMBER(SEARCH("role",D476)),ISNUMBER(SEARCH("scorecard",F476)),ISNUMBER(SEARCH("competenc",F476))),"Role and leadership advisory",
OR(ISNUMBER(SEARCH("meeting",F476)),ISNUMBER(SEARCH("notes",F476)),ISNUMBER(SEARCH("summary",F476))),"Meeting notes and summarization",
TRUE,"Other or fragmented"
)</f>
        <v>Other or fragmented</v>
      </c>
      <c r="O476" s="3" t="s">
        <v>20</v>
      </c>
      <c r="P476" s="3"/>
    </row>
    <row r="477" spans="1:16" x14ac:dyDescent="0.25">
      <c r="A477" t="s">
        <v>15</v>
      </c>
      <c r="B477" s="1">
        <v>45992</v>
      </c>
      <c r="C477" s="1">
        <v>46022</v>
      </c>
      <c r="D477" t="s">
        <v>705</v>
      </c>
      <c r="E477" t="s">
        <v>24</v>
      </c>
      <c r="F477" t="s">
        <v>706</v>
      </c>
      <c r="G477">
        <v>0</v>
      </c>
      <c r="J477">
        <v>0</v>
      </c>
      <c r="K477">
        <v>0</v>
      </c>
      <c r="L477" t="s">
        <v>704</v>
      </c>
      <c r="M477" s="10" t="s">
        <v>19</v>
      </c>
      <c r="N477" s="3" t="str" cm="1">
        <f t="array" ref="N477">_xlfn.IFS(
OR(ISNUMBER(SEARCH("email",D477)),ISNUMBER(SEARCH("email",F477)),ISNUMBER(SEARCH("polish",D477)),ISNUMBER(SEARCH("rewrite",F477)),ISNUMBER(SEARCH("copy",F477))),"Writing and comms",
OR(ISNUMBER(SEARCH("research",F477)),ISNUMBER(SEARCH("intel",F477)),ISNUMBER(SEARCH("company",D477)),ISNUMBER(SEARCH("digger",D477))),"Research and intel",
OR(ISNUMBER(SEARCH("prompt",D477)),ISNUMBER(SEARCH("prompt",F477))),"Prompting help",
OR(ISNUMBER(SEARCH("role",D477)),ISNUMBER(SEARCH("scorecard",F477)),ISNUMBER(SEARCH("competenc",F477))),"Role and leadership advisory",
OR(ISNUMBER(SEARCH("meeting",F477)),ISNUMBER(SEARCH("notes",F477)),ISNUMBER(SEARCH("summary",F477))),"Meeting notes and summarization",
TRUE,"Other or fragmented"
)</f>
        <v>Other or fragmented</v>
      </c>
      <c r="O477" s="3" t="s">
        <v>20</v>
      </c>
      <c r="P477" s="3"/>
    </row>
    <row r="478" spans="1:16" x14ac:dyDescent="0.25">
      <c r="A478" t="s">
        <v>15</v>
      </c>
      <c r="B478" s="1">
        <v>45992</v>
      </c>
      <c r="C478" s="1">
        <v>46022</v>
      </c>
      <c r="E478" t="s">
        <v>24</v>
      </c>
      <c r="F478" t="s">
        <v>707</v>
      </c>
      <c r="G478">
        <v>0</v>
      </c>
      <c r="J478">
        <v>0</v>
      </c>
      <c r="K478">
        <v>0</v>
      </c>
      <c r="L478" t="s">
        <v>704</v>
      </c>
      <c r="M478" s="9" t="s">
        <v>19</v>
      </c>
      <c r="N478" s="3" t="str" cm="1">
        <f t="array" ref="N478">_xlfn.IFS(
OR(ISNUMBER(SEARCH("email",D478)),ISNUMBER(SEARCH("email",F478)),ISNUMBER(SEARCH("polish",D478)),ISNUMBER(SEARCH("rewrite",F478)),ISNUMBER(SEARCH("copy",F478))),"Writing and comms",
OR(ISNUMBER(SEARCH("research",F478)),ISNUMBER(SEARCH("intel",F478)),ISNUMBER(SEARCH("company",D478)),ISNUMBER(SEARCH("digger",D478))),"Research and intel",
OR(ISNUMBER(SEARCH("prompt",D478)),ISNUMBER(SEARCH("prompt",F478))),"Prompting help",
OR(ISNUMBER(SEARCH("role",D478)),ISNUMBER(SEARCH("scorecard",F478)),ISNUMBER(SEARCH("competenc",F478))),"Role and leadership advisory",
OR(ISNUMBER(SEARCH("meeting",F478)),ISNUMBER(SEARCH("notes",F478)),ISNUMBER(SEARCH("summary",F478))),"Meeting notes and summarization",
TRUE,"Other or fragmented"
)</f>
        <v>Other or fragmented</v>
      </c>
      <c r="O478" s="3" t="s">
        <v>20</v>
      </c>
      <c r="P478" s="3"/>
    </row>
    <row r="479" spans="1:16" x14ac:dyDescent="0.25">
      <c r="A479" t="s">
        <v>15</v>
      </c>
      <c r="B479" s="1">
        <v>45992</v>
      </c>
      <c r="C479" s="1">
        <v>46022</v>
      </c>
      <c r="D479" t="s">
        <v>708</v>
      </c>
      <c r="E479" t="s">
        <v>17</v>
      </c>
      <c r="F479" t="s">
        <v>709</v>
      </c>
      <c r="G479">
        <v>0</v>
      </c>
      <c r="J479">
        <v>0</v>
      </c>
      <c r="K479">
        <v>0</v>
      </c>
      <c r="L479" t="s">
        <v>704</v>
      </c>
      <c r="M479" s="10" t="s">
        <v>19</v>
      </c>
      <c r="N479" s="3" t="str" cm="1">
        <f t="array" ref="N479">_xlfn.IFS(
OR(ISNUMBER(SEARCH("email",D479)),ISNUMBER(SEARCH("email",F479)),ISNUMBER(SEARCH("polish",D479)),ISNUMBER(SEARCH("rewrite",F479)),ISNUMBER(SEARCH("copy",F479))),"Writing and comms",
OR(ISNUMBER(SEARCH("research",F479)),ISNUMBER(SEARCH("intel",F479)),ISNUMBER(SEARCH("company",D479)),ISNUMBER(SEARCH("digger",D479))),"Research and intel",
OR(ISNUMBER(SEARCH("prompt",D479)),ISNUMBER(SEARCH("prompt",F479))),"Prompting help",
OR(ISNUMBER(SEARCH("role",D479)),ISNUMBER(SEARCH("scorecard",F479)),ISNUMBER(SEARCH("competenc",F479))),"Role and leadership advisory",
OR(ISNUMBER(SEARCH("meeting",F479)),ISNUMBER(SEARCH("notes",F479)),ISNUMBER(SEARCH("summary",F479))),"Meeting notes and summarization",
TRUE,"Other or fragmented"
)</f>
        <v>Other or fragmented</v>
      </c>
      <c r="O479" s="3" t="s">
        <v>20</v>
      </c>
      <c r="P479" s="3"/>
    </row>
    <row r="480" spans="1:16" x14ac:dyDescent="0.25">
      <c r="A480" t="s">
        <v>15</v>
      </c>
      <c r="B480" s="1">
        <v>45992</v>
      </c>
      <c r="C480" s="1">
        <v>46022</v>
      </c>
      <c r="E480" t="s">
        <v>24</v>
      </c>
      <c r="G480">
        <v>0</v>
      </c>
      <c r="J480">
        <v>0</v>
      </c>
      <c r="K480">
        <v>0</v>
      </c>
      <c r="L480" t="s">
        <v>704</v>
      </c>
      <c r="M480" s="9" t="s">
        <v>19</v>
      </c>
      <c r="N480" s="3" t="str" cm="1">
        <f t="array" ref="N480">_xlfn.IFS(
OR(ISNUMBER(SEARCH("email",D480)),ISNUMBER(SEARCH("email",F480)),ISNUMBER(SEARCH("polish",D480)),ISNUMBER(SEARCH("rewrite",F480)),ISNUMBER(SEARCH("copy",F480))),"Writing and comms",
OR(ISNUMBER(SEARCH("research",F480)),ISNUMBER(SEARCH("intel",F480)),ISNUMBER(SEARCH("company",D480)),ISNUMBER(SEARCH("digger",D480))),"Research and intel",
OR(ISNUMBER(SEARCH("prompt",D480)),ISNUMBER(SEARCH("prompt",F480))),"Prompting help",
OR(ISNUMBER(SEARCH("role",D480)),ISNUMBER(SEARCH("scorecard",F480)),ISNUMBER(SEARCH("competenc",F480))),"Role and leadership advisory",
OR(ISNUMBER(SEARCH("meeting",F480)),ISNUMBER(SEARCH("notes",F480)),ISNUMBER(SEARCH("summary",F480))),"Meeting notes and summarization",
TRUE,"Other or fragmented"
)</f>
        <v>Other or fragmented</v>
      </c>
      <c r="O480" s="3" t="s">
        <v>20</v>
      </c>
      <c r="P480" s="3"/>
    </row>
    <row r="481" spans="1:16" x14ac:dyDescent="0.25">
      <c r="A481" t="s">
        <v>15</v>
      </c>
      <c r="B481" s="1">
        <v>45992</v>
      </c>
      <c r="C481" s="1">
        <v>46022</v>
      </c>
      <c r="E481" t="s">
        <v>24</v>
      </c>
      <c r="G481">
        <v>0</v>
      </c>
      <c r="J481">
        <v>0</v>
      </c>
      <c r="K481">
        <v>0</v>
      </c>
      <c r="L481" t="s">
        <v>710</v>
      </c>
      <c r="M481" s="10" t="s">
        <v>19</v>
      </c>
      <c r="N481" s="3" t="str" cm="1">
        <f t="array" ref="N481">_xlfn.IFS(
OR(ISNUMBER(SEARCH("email",D481)),ISNUMBER(SEARCH("email",F481)),ISNUMBER(SEARCH("polish",D481)),ISNUMBER(SEARCH("rewrite",F481)),ISNUMBER(SEARCH("copy",F481))),"Writing and comms",
OR(ISNUMBER(SEARCH("research",F481)),ISNUMBER(SEARCH("intel",F481)),ISNUMBER(SEARCH("company",D481)),ISNUMBER(SEARCH("digger",D481))),"Research and intel",
OR(ISNUMBER(SEARCH("prompt",D481)),ISNUMBER(SEARCH("prompt",F481))),"Prompting help",
OR(ISNUMBER(SEARCH("role",D481)),ISNUMBER(SEARCH("scorecard",F481)),ISNUMBER(SEARCH("competenc",F481))),"Role and leadership advisory",
OR(ISNUMBER(SEARCH("meeting",F481)),ISNUMBER(SEARCH("notes",F481)),ISNUMBER(SEARCH("summary",F481))),"Meeting notes and summarization",
TRUE,"Other or fragmented"
)</f>
        <v>Other or fragmented</v>
      </c>
      <c r="O481" s="3" t="s">
        <v>20</v>
      </c>
      <c r="P481" s="3"/>
    </row>
    <row r="482" spans="1:16" x14ac:dyDescent="0.25">
      <c r="A482" t="s">
        <v>15</v>
      </c>
      <c r="B482" s="1">
        <v>45992</v>
      </c>
      <c r="C482" s="1">
        <v>46022</v>
      </c>
      <c r="D482" t="s">
        <v>711</v>
      </c>
      <c r="E482" t="s">
        <v>24</v>
      </c>
      <c r="F482" t="s">
        <v>712</v>
      </c>
      <c r="G482">
        <v>0</v>
      </c>
      <c r="J482">
        <v>0</v>
      </c>
      <c r="K482">
        <v>0</v>
      </c>
      <c r="L482" t="s">
        <v>710</v>
      </c>
      <c r="M482" s="9" t="s">
        <v>19</v>
      </c>
      <c r="N482" s="3" t="str" cm="1">
        <f t="array" ref="N482">_xlfn.IFS(
OR(ISNUMBER(SEARCH("email",D482)),ISNUMBER(SEARCH("email",F482)),ISNUMBER(SEARCH("polish",D482)),ISNUMBER(SEARCH("rewrite",F482)),ISNUMBER(SEARCH("copy",F482))),"Writing and comms",
OR(ISNUMBER(SEARCH("research",F482)),ISNUMBER(SEARCH("intel",F482)),ISNUMBER(SEARCH("company",D482)),ISNUMBER(SEARCH("digger",D482))),"Research and intel",
OR(ISNUMBER(SEARCH("prompt",D482)),ISNUMBER(SEARCH("prompt",F482))),"Prompting help",
OR(ISNUMBER(SEARCH("role",D482)),ISNUMBER(SEARCH("scorecard",F482)),ISNUMBER(SEARCH("competenc",F482))),"Role and leadership advisory",
OR(ISNUMBER(SEARCH("meeting",F482)),ISNUMBER(SEARCH("notes",F482)),ISNUMBER(SEARCH("summary",F482))),"Meeting notes and summarization",
TRUE,"Other or fragmented"
)</f>
        <v>Writing and comms</v>
      </c>
      <c r="O482" s="3" t="s">
        <v>20</v>
      </c>
      <c r="P482" s="3"/>
    </row>
    <row r="483" spans="1:16" x14ac:dyDescent="0.25">
      <c r="A483" t="s">
        <v>15</v>
      </c>
      <c r="B483" s="1">
        <v>45992</v>
      </c>
      <c r="C483" s="1">
        <v>46022</v>
      </c>
      <c r="D483" t="s">
        <v>713</v>
      </c>
      <c r="E483" t="s">
        <v>24</v>
      </c>
      <c r="F483" t="s">
        <v>714</v>
      </c>
      <c r="G483">
        <v>0</v>
      </c>
      <c r="J483">
        <v>0</v>
      </c>
      <c r="K483">
        <v>0</v>
      </c>
      <c r="L483" t="s">
        <v>710</v>
      </c>
      <c r="M483" s="10" t="s">
        <v>19</v>
      </c>
      <c r="N483" s="3" t="str" cm="1">
        <f t="array" ref="N483">_xlfn.IFS(
OR(ISNUMBER(SEARCH("email",D483)),ISNUMBER(SEARCH("email",F483)),ISNUMBER(SEARCH("polish",D483)),ISNUMBER(SEARCH("rewrite",F483)),ISNUMBER(SEARCH("copy",F483))),"Writing and comms",
OR(ISNUMBER(SEARCH("research",F483)),ISNUMBER(SEARCH("intel",F483)),ISNUMBER(SEARCH("company",D483)),ISNUMBER(SEARCH("digger",D483))),"Research and intel",
OR(ISNUMBER(SEARCH("prompt",D483)),ISNUMBER(SEARCH("prompt",F483))),"Prompting help",
OR(ISNUMBER(SEARCH("role",D483)),ISNUMBER(SEARCH("scorecard",F483)),ISNUMBER(SEARCH("competenc",F483))),"Role and leadership advisory",
OR(ISNUMBER(SEARCH("meeting",F483)),ISNUMBER(SEARCH("notes",F483)),ISNUMBER(SEARCH("summary",F483))),"Meeting notes and summarization",
TRUE,"Other or fragmented"
)</f>
        <v>Other or fragmented</v>
      </c>
      <c r="O483" s="3" t="s">
        <v>20</v>
      </c>
      <c r="P483" s="3"/>
    </row>
    <row r="484" spans="1:16" x14ac:dyDescent="0.25">
      <c r="A484" t="s">
        <v>15</v>
      </c>
      <c r="B484" s="1">
        <v>45992</v>
      </c>
      <c r="C484" s="1">
        <v>46022</v>
      </c>
      <c r="D484" t="s">
        <v>715</v>
      </c>
      <c r="E484" t="s">
        <v>24</v>
      </c>
      <c r="F484" t="s">
        <v>716</v>
      </c>
      <c r="G484">
        <v>1</v>
      </c>
      <c r="H484" s="1">
        <v>46009</v>
      </c>
      <c r="I484" s="1">
        <v>46009</v>
      </c>
      <c r="J484">
        <v>8</v>
      </c>
      <c r="K484">
        <v>1</v>
      </c>
      <c r="L484" t="s">
        <v>717</v>
      </c>
      <c r="M484" s="9" t="s">
        <v>19</v>
      </c>
      <c r="N484" s="3" t="str" cm="1">
        <f t="array" ref="N484">_xlfn.IFS(
OR(ISNUMBER(SEARCH("email",D484)),ISNUMBER(SEARCH("email",F484)),ISNUMBER(SEARCH("polish",D484)),ISNUMBER(SEARCH("rewrite",F484)),ISNUMBER(SEARCH("copy",F484))),"Writing and comms",
OR(ISNUMBER(SEARCH("research",F484)),ISNUMBER(SEARCH("intel",F484)),ISNUMBER(SEARCH("company",D484)),ISNUMBER(SEARCH("digger",D484))),"Research and intel",
OR(ISNUMBER(SEARCH("prompt",D484)),ISNUMBER(SEARCH("prompt",F484))),"Prompting help",
OR(ISNUMBER(SEARCH("role",D484)),ISNUMBER(SEARCH("scorecard",F484)),ISNUMBER(SEARCH("competenc",F484))),"Role and leadership advisory",
OR(ISNUMBER(SEARCH("meeting",F484)),ISNUMBER(SEARCH("notes",F484)),ISNUMBER(SEARCH("summary",F484))),"Meeting notes and summarization",
TRUE,"Other or fragmented"
)</f>
        <v>Research and intel</v>
      </c>
      <c r="O484" s="3" t="s">
        <v>20</v>
      </c>
      <c r="P484" s="3"/>
    </row>
    <row r="485" spans="1:16" x14ac:dyDescent="0.25">
      <c r="A485" t="s">
        <v>15</v>
      </c>
      <c r="B485" s="1">
        <v>45992</v>
      </c>
      <c r="C485" s="1">
        <v>46022</v>
      </c>
      <c r="E485" t="s">
        <v>24</v>
      </c>
      <c r="G485">
        <v>0</v>
      </c>
      <c r="J485">
        <v>0</v>
      </c>
      <c r="K485">
        <v>0</v>
      </c>
      <c r="L485" t="s">
        <v>718</v>
      </c>
      <c r="M485" s="10" t="s">
        <v>19</v>
      </c>
      <c r="N485" s="3" t="str" cm="1">
        <f t="array" ref="N485">_xlfn.IFS(
OR(ISNUMBER(SEARCH("email",D485)),ISNUMBER(SEARCH("email",F485)),ISNUMBER(SEARCH("polish",D485)),ISNUMBER(SEARCH("rewrite",F485)),ISNUMBER(SEARCH("copy",F485))),"Writing and comms",
OR(ISNUMBER(SEARCH("research",F485)),ISNUMBER(SEARCH("intel",F485)),ISNUMBER(SEARCH("company",D485)),ISNUMBER(SEARCH("digger",D485))),"Research and intel",
OR(ISNUMBER(SEARCH("prompt",D485)),ISNUMBER(SEARCH("prompt",F485))),"Prompting help",
OR(ISNUMBER(SEARCH("role",D485)),ISNUMBER(SEARCH("scorecard",F485)),ISNUMBER(SEARCH("competenc",F485))),"Role and leadership advisory",
OR(ISNUMBER(SEARCH("meeting",F485)),ISNUMBER(SEARCH("notes",F485)),ISNUMBER(SEARCH("summary",F485))),"Meeting notes and summarization",
TRUE,"Other or fragmented"
)</f>
        <v>Other or fragmented</v>
      </c>
      <c r="O485" s="3" t="s">
        <v>20</v>
      </c>
      <c r="P485" s="3"/>
    </row>
    <row r="486" spans="1:16" x14ac:dyDescent="0.25">
      <c r="A486" t="s">
        <v>15</v>
      </c>
      <c r="B486" s="1">
        <v>45992</v>
      </c>
      <c r="C486" s="1">
        <v>46022</v>
      </c>
      <c r="E486" t="s">
        <v>24</v>
      </c>
      <c r="G486">
        <v>0</v>
      </c>
      <c r="J486">
        <v>0</v>
      </c>
      <c r="K486">
        <v>0</v>
      </c>
      <c r="L486" t="s">
        <v>718</v>
      </c>
      <c r="M486" s="9" t="s">
        <v>19</v>
      </c>
      <c r="N486" s="3" t="str" cm="1">
        <f t="array" ref="N486">_xlfn.IFS(
OR(ISNUMBER(SEARCH("email",D486)),ISNUMBER(SEARCH("email",F486)),ISNUMBER(SEARCH("polish",D486)),ISNUMBER(SEARCH("rewrite",F486)),ISNUMBER(SEARCH("copy",F486))),"Writing and comms",
OR(ISNUMBER(SEARCH("research",F486)),ISNUMBER(SEARCH("intel",F486)),ISNUMBER(SEARCH("company",D486)),ISNUMBER(SEARCH("digger",D486))),"Research and intel",
OR(ISNUMBER(SEARCH("prompt",D486)),ISNUMBER(SEARCH("prompt",F486))),"Prompting help",
OR(ISNUMBER(SEARCH("role",D486)),ISNUMBER(SEARCH("scorecard",F486)),ISNUMBER(SEARCH("competenc",F486))),"Role and leadership advisory",
OR(ISNUMBER(SEARCH("meeting",F486)),ISNUMBER(SEARCH("notes",F486)),ISNUMBER(SEARCH("summary",F486))),"Meeting notes and summarization",
TRUE,"Other or fragmented"
)</f>
        <v>Other or fragmented</v>
      </c>
      <c r="O486" s="3" t="s">
        <v>20</v>
      </c>
      <c r="P486" s="3"/>
    </row>
    <row r="487" spans="1:16" x14ac:dyDescent="0.25">
      <c r="A487" t="s">
        <v>15</v>
      </c>
      <c r="B487" s="1">
        <v>45992</v>
      </c>
      <c r="C487" s="1">
        <v>46022</v>
      </c>
      <c r="D487" t="s">
        <v>719</v>
      </c>
      <c r="E487" t="s">
        <v>17</v>
      </c>
      <c r="F487" t="s">
        <v>720</v>
      </c>
      <c r="G487">
        <v>0</v>
      </c>
      <c r="J487">
        <v>0</v>
      </c>
      <c r="K487">
        <v>0</v>
      </c>
      <c r="L487" t="s">
        <v>718</v>
      </c>
      <c r="M487" s="10" t="s">
        <v>19</v>
      </c>
      <c r="N487" s="3" t="str" cm="1">
        <f t="array" ref="N487">_xlfn.IFS(
OR(ISNUMBER(SEARCH("email",D487)),ISNUMBER(SEARCH("email",F487)),ISNUMBER(SEARCH("polish",D487)),ISNUMBER(SEARCH("rewrite",F487)),ISNUMBER(SEARCH("copy",F487))),"Writing and comms",
OR(ISNUMBER(SEARCH("research",F487)),ISNUMBER(SEARCH("intel",F487)),ISNUMBER(SEARCH("company",D487)),ISNUMBER(SEARCH("digger",D487))),"Research and intel",
OR(ISNUMBER(SEARCH("prompt",D487)),ISNUMBER(SEARCH("prompt",F487))),"Prompting help",
OR(ISNUMBER(SEARCH("role",D487)),ISNUMBER(SEARCH("scorecard",F487)),ISNUMBER(SEARCH("competenc",F487))),"Role and leadership advisory",
OR(ISNUMBER(SEARCH("meeting",F487)),ISNUMBER(SEARCH("notes",F487)),ISNUMBER(SEARCH("summary",F487))),"Meeting notes and summarization",
TRUE,"Other or fragmented"
)</f>
        <v>Other or fragmented</v>
      </c>
      <c r="O487" s="3" t="s">
        <v>20</v>
      </c>
      <c r="P487" s="3"/>
    </row>
    <row r="488" spans="1:16" x14ac:dyDescent="0.25">
      <c r="A488" t="s">
        <v>15</v>
      </c>
      <c r="B488" s="1">
        <v>45992</v>
      </c>
      <c r="C488" s="1">
        <v>46022</v>
      </c>
      <c r="E488" t="s">
        <v>24</v>
      </c>
      <c r="G488">
        <v>0</v>
      </c>
      <c r="J488">
        <v>0</v>
      </c>
      <c r="K488">
        <v>0</v>
      </c>
      <c r="L488" t="s">
        <v>718</v>
      </c>
      <c r="M488" s="9" t="s">
        <v>19</v>
      </c>
      <c r="N488" s="3" t="str" cm="1">
        <f t="array" ref="N488">_xlfn.IFS(
OR(ISNUMBER(SEARCH("email",D488)),ISNUMBER(SEARCH("email",F488)),ISNUMBER(SEARCH("polish",D488)),ISNUMBER(SEARCH("rewrite",F488)),ISNUMBER(SEARCH("copy",F488))),"Writing and comms",
OR(ISNUMBER(SEARCH("research",F488)),ISNUMBER(SEARCH("intel",F488)),ISNUMBER(SEARCH("company",D488)),ISNUMBER(SEARCH("digger",D488))),"Research and intel",
OR(ISNUMBER(SEARCH("prompt",D488)),ISNUMBER(SEARCH("prompt",F488))),"Prompting help",
OR(ISNUMBER(SEARCH("role",D488)),ISNUMBER(SEARCH("scorecard",F488)),ISNUMBER(SEARCH("competenc",F488))),"Role and leadership advisory",
OR(ISNUMBER(SEARCH("meeting",F488)),ISNUMBER(SEARCH("notes",F488)),ISNUMBER(SEARCH("summary",F488))),"Meeting notes and summarization",
TRUE,"Other or fragmented"
)</f>
        <v>Other or fragmented</v>
      </c>
      <c r="O488" s="3" t="s">
        <v>20</v>
      </c>
      <c r="P488" s="3"/>
    </row>
    <row r="489" spans="1:16" x14ac:dyDescent="0.25">
      <c r="A489" t="s">
        <v>15</v>
      </c>
      <c r="B489" s="1">
        <v>45992</v>
      </c>
      <c r="C489" s="1">
        <v>46022</v>
      </c>
      <c r="D489" t="s">
        <v>721</v>
      </c>
      <c r="E489" t="s">
        <v>24</v>
      </c>
      <c r="F489" t="s">
        <v>722</v>
      </c>
      <c r="G489">
        <v>0</v>
      </c>
      <c r="J489">
        <v>0</v>
      </c>
      <c r="K489">
        <v>0</v>
      </c>
      <c r="L489" t="s">
        <v>723</v>
      </c>
      <c r="M489" s="10" t="s">
        <v>19</v>
      </c>
      <c r="N489" s="3" t="str" cm="1">
        <f t="array" ref="N489">_xlfn.IFS(
OR(ISNUMBER(SEARCH("email",D489)),ISNUMBER(SEARCH("email",F489)),ISNUMBER(SEARCH("polish",D489)),ISNUMBER(SEARCH("rewrite",F489)),ISNUMBER(SEARCH("copy",F489))),"Writing and comms",
OR(ISNUMBER(SEARCH("research",F489)),ISNUMBER(SEARCH("intel",F489)),ISNUMBER(SEARCH("company",D489)),ISNUMBER(SEARCH("digger",D489))),"Research and intel",
OR(ISNUMBER(SEARCH("prompt",D489)),ISNUMBER(SEARCH("prompt",F489))),"Prompting help",
OR(ISNUMBER(SEARCH("role",D489)),ISNUMBER(SEARCH("scorecard",F489)),ISNUMBER(SEARCH("competenc",F489))),"Role and leadership advisory",
OR(ISNUMBER(SEARCH("meeting",F489)),ISNUMBER(SEARCH("notes",F489)),ISNUMBER(SEARCH("summary",F489))),"Meeting notes and summarization",
TRUE,"Other or fragmented"
)</f>
        <v>Other or fragmented</v>
      </c>
      <c r="O489" s="3" t="s">
        <v>20</v>
      </c>
      <c r="P489" s="3"/>
    </row>
    <row r="490" spans="1:16" x14ac:dyDescent="0.25">
      <c r="A490" t="s">
        <v>15</v>
      </c>
      <c r="B490" s="1">
        <v>45992</v>
      </c>
      <c r="C490" s="1">
        <v>46022</v>
      </c>
      <c r="E490" t="s">
        <v>24</v>
      </c>
      <c r="G490">
        <v>0</v>
      </c>
      <c r="J490">
        <v>0</v>
      </c>
      <c r="K490">
        <v>0</v>
      </c>
      <c r="L490" t="s">
        <v>724</v>
      </c>
      <c r="M490" s="9" t="s">
        <v>19</v>
      </c>
      <c r="N490" s="3" t="str" cm="1">
        <f t="array" ref="N490">_xlfn.IFS(
OR(ISNUMBER(SEARCH("email",D490)),ISNUMBER(SEARCH("email",F490)),ISNUMBER(SEARCH("polish",D490)),ISNUMBER(SEARCH("rewrite",F490)),ISNUMBER(SEARCH("copy",F490))),"Writing and comms",
OR(ISNUMBER(SEARCH("research",F490)),ISNUMBER(SEARCH("intel",F490)),ISNUMBER(SEARCH("company",D490)),ISNUMBER(SEARCH("digger",D490))),"Research and intel",
OR(ISNUMBER(SEARCH("prompt",D490)),ISNUMBER(SEARCH("prompt",F490))),"Prompting help",
OR(ISNUMBER(SEARCH("role",D490)),ISNUMBER(SEARCH("scorecard",F490)),ISNUMBER(SEARCH("competenc",F490))),"Role and leadership advisory",
OR(ISNUMBER(SEARCH("meeting",F490)),ISNUMBER(SEARCH("notes",F490)),ISNUMBER(SEARCH("summary",F490))),"Meeting notes and summarization",
TRUE,"Other or fragmented"
)</f>
        <v>Other or fragmented</v>
      </c>
      <c r="O490" s="3" t="s">
        <v>20</v>
      </c>
      <c r="P490" s="3"/>
    </row>
    <row r="491" spans="1:16" x14ac:dyDescent="0.25">
      <c r="A491" t="s">
        <v>15</v>
      </c>
      <c r="B491" s="1">
        <v>45992</v>
      </c>
      <c r="C491" s="1">
        <v>46022</v>
      </c>
      <c r="D491" t="s">
        <v>725</v>
      </c>
      <c r="E491" t="s">
        <v>17</v>
      </c>
      <c r="G491">
        <v>0</v>
      </c>
      <c r="J491">
        <v>0</v>
      </c>
      <c r="K491">
        <v>0</v>
      </c>
      <c r="L491" t="s">
        <v>724</v>
      </c>
      <c r="M491" s="10" t="s">
        <v>19</v>
      </c>
      <c r="N491" s="3" t="str" cm="1">
        <f t="array" ref="N491">_xlfn.IFS(
OR(ISNUMBER(SEARCH("email",D491)),ISNUMBER(SEARCH("email",F491)),ISNUMBER(SEARCH("polish",D491)),ISNUMBER(SEARCH("rewrite",F491)),ISNUMBER(SEARCH("copy",F491))),"Writing and comms",
OR(ISNUMBER(SEARCH("research",F491)),ISNUMBER(SEARCH("intel",F491)),ISNUMBER(SEARCH("company",D491)),ISNUMBER(SEARCH("digger",D491))),"Research and intel",
OR(ISNUMBER(SEARCH("prompt",D491)),ISNUMBER(SEARCH("prompt",F491))),"Prompting help",
OR(ISNUMBER(SEARCH("role",D491)),ISNUMBER(SEARCH("scorecard",F491)),ISNUMBER(SEARCH("competenc",F491))),"Role and leadership advisory",
OR(ISNUMBER(SEARCH("meeting",F491)),ISNUMBER(SEARCH("notes",F491)),ISNUMBER(SEARCH("summary",F491))),"Meeting notes and summarization",
TRUE,"Other or fragmented"
)</f>
        <v>Other or fragmented</v>
      </c>
      <c r="O491" s="3" t="s">
        <v>20</v>
      </c>
      <c r="P491" s="3"/>
    </row>
    <row r="492" spans="1:16" x14ac:dyDescent="0.25">
      <c r="A492" t="s">
        <v>15</v>
      </c>
      <c r="B492" s="1">
        <v>45992</v>
      </c>
      <c r="C492" s="1">
        <v>46022</v>
      </c>
      <c r="D492" t="s">
        <v>726</v>
      </c>
      <c r="E492" t="s">
        <v>24</v>
      </c>
      <c r="F492" t="s">
        <v>727</v>
      </c>
      <c r="G492">
        <v>1</v>
      </c>
      <c r="H492" s="1">
        <v>45992</v>
      </c>
      <c r="I492" s="1">
        <v>45992</v>
      </c>
      <c r="J492">
        <v>40</v>
      </c>
      <c r="K492">
        <v>1</v>
      </c>
      <c r="L492" t="s">
        <v>728</v>
      </c>
      <c r="M492" s="9" t="s">
        <v>19</v>
      </c>
      <c r="N492" s="3" t="str" cm="1">
        <f t="array" ref="N492">_xlfn.IFS(
OR(ISNUMBER(SEARCH("email",D492)),ISNUMBER(SEARCH("email",F492)),ISNUMBER(SEARCH("polish",D492)),ISNUMBER(SEARCH("rewrite",F492)),ISNUMBER(SEARCH("copy",F492))),"Writing and comms",
OR(ISNUMBER(SEARCH("research",F492)),ISNUMBER(SEARCH("intel",F492)),ISNUMBER(SEARCH("company",D492)),ISNUMBER(SEARCH("digger",D492))),"Research and intel",
OR(ISNUMBER(SEARCH("prompt",D492)),ISNUMBER(SEARCH("prompt",F492))),"Prompting help",
OR(ISNUMBER(SEARCH("role",D492)),ISNUMBER(SEARCH("scorecard",F492)),ISNUMBER(SEARCH("competenc",F492))),"Role and leadership advisory",
OR(ISNUMBER(SEARCH("meeting",F492)),ISNUMBER(SEARCH("notes",F492)),ISNUMBER(SEARCH("summary",F492))),"Meeting notes and summarization",
TRUE,"Other or fragmented"
)</f>
        <v>Prompting help</v>
      </c>
      <c r="O492" s="3" t="s">
        <v>20</v>
      </c>
      <c r="P492" s="3"/>
    </row>
    <row r="493" spans="1:16" x14ac:dyDescent="0.25">
      <c r="A493" t="s">
        <v>15</v>
      </c>
      <c r="B493" s="1">
        <v>45992</v>
      </c>
      <c r="C493" s="1">
        <v>46022</v>
      </c>
      <c r="E493" t="s">
        <v>24</v>
      </c>
      <c r="G493">
        <v>0</v>
      </c>
      <c r="J493">
        <v>0</v>
      </c>
      <c r="K493">
        <v>0</v>
      </c>
      <c r="L493" t="s">
        <v>729</v>
      </c>
      <c r="M493" s="10" t="s">
        <v>19</v>
      </c>
      <c r="N493" s="3" t="str" cm="1">
        <f t="array" ref="N493">_xlfn.IFS(
OR(ISNUMBER(SEARCH("email",D493)),ISNUMBER(SEARCH("email",F493)),ISNUMBER(SEARCH("polish",D493)),ISNUMBER(SEARCH("rewrite",F493)),ISNUMBER(SEARCH("copy",F493))),"Writing and comms",
OR(ISNUMBER(SEARCH("research",F493)),ISNUMBER(SEARCH("intel",F493)),ISNUMBER(SEARCH("company",D493)),ISNUMBER(SEARCH("digger",D493))),"Research and intel",
OR(ISNUMBER(SEARCH("prompt",D493)),ISNUMBER(SEARCH("prompt",F493))),"Prompting help",
OR(ISNUMBER(SEARCH("role",D493)),ISNUMBER(SEARCH("scorecard",F493)),ISNUMBER(SEARCH("competenc",F493))),"Role and leadership advisory",
OR(ISNUMBER(SEARCH("meeting",F493)),ISNUMBER(SEARCH("notes",F493)),ISNUMBER(SEARCH("summary",F493))),"Meeting notes and summarization",
TRUE,"Other or fragmented"
)</f>
        <v>Other or fragmented</v>
      </c>
      <c r="O493" s="3" t="s">
        <v>20</v>
      </c>
      <c r="P493" s="3"/>
    </row>
    <row r="494" spans="1:16" x14ac:dyDescent="0.25">
      <c r="A494" t="s">
        <v>15</v>
      </c>
      <c r="B494" s="1">
        <v>45992</v>
      </c>
      <c r="C494" s="1">
        <v>46022</v>
      </c>
      <c r="D494" t="s">
        <v>730</v>
      </c>
      <c r="E494" t="s">
        <v>17</v>
      </c>
      <c r="G494">
        <v>1</v>
      </c>
      <c r="H494" s="1">
        <v>46009</v>
      </c>
      <c r="I494" s="1">
        <v>46009</v>
      </c>
      <c r="J494">
        <v>2</v>
      </c>
      <c r="K494">
        <v>1</v>
      </c>
      <c r="L494" t="s">
        <v>731</v>
      </c>
      <c r="M494" s="9" t="s">
        <v>19</v>
      </c>
      <c r="N494" s="3" t="str" cm="1">
        <f t="array" ref="N494">_xlfn.IFS(
OR(ISNUMBER(SEARCH("email",D494)),ISNUMBER(SEARCH("email",F494)),ISNUMBER(SEARCH("polish",D494)),ISNUMBER(SEARCH("rewrite",F494)),ISNUMBER(SEARCH("copy",F494))),"Writing and comms",
OR(ISNUMBER(SEARCH("research",F494)),ISNUMBER(SEARCH("intel",F494)),ISNUMBER(SEARCH("company",D494)),ISNUMBER(SEARCH("digger",D494))),"Research and intel",
OR(ISNUMBER(SEARCH("prompt",D494)),ISNUMBER(SEARCH("prompt",F494))),"Prompting help",
OR(ISNUMBER(SEARCH("role",D494)),ISNUMBER(SEARCH("scorecard",F494)),ISNUMBER(SEARCH("competenc",F494))),"Role and leadership advisory",
OR(ISNUMBER(SEARCH("meeting",F494)),ISNUMBER(SEARCH("notes",F494)),ISNUMBER(SEARCH("summary",F494))),"Meeting notes and summarization",
TRUE,"Other or fragmented"
)</f>
        <v>Other or fragmented</v>
      </c>
      <c r="O494" s="3" t="s">
        <v>20</v>
      </c>
      <c r="P494" s="3"/>
    </row>
    <row r="495" spans="1:16" x14ac:dyDescent="0.25">
      <c r="A495" t="s">
        <v>15</v>
      </c>
      <c r="B495" s="1">
        <v>45992</v>
      </c>
      <c r="C495" s="1">
        <v>46022</v>
      </c>
      <c r="D495" t="s">
        <v>732</v>
      </c>
      <c r="E495" t="s">
        <v>17</v>
      </c>
      <c r="F495" t="s">
        <v>733</v>
      </c>
      <c r="G495">
        <v>1</v>
      </c>
      <c r="H495" s="1">
        <v>45993</v>
      </c>
      <c r="I495" s="1">
        <v>46009</v>
      </c>
      <c r="J495">
        <v>2</v>
      </c>
      <c r="K495">
        <v>1</v>
      </c>
      <c r="L495" t="s">
        <v>731</v>
      </c>
      <c r="M495" s="10" t="s">
        <v>19</v>
      </c>
      <c r="N495" s="3" t="str" cm="1">
        <f t="array" ref="N495">_xlfn.IFS(
OR(ISNUMBER(SEARCH("email",D495)),ISNUMBER(SEARCH("email",F495)),ISNUMBER(SEARCH("polish",D495)),ISNUMBER(SEARCH("rewrite",F495)),ISNUMBER(SEARCH("copy",F495))),"Writing and comms",
OR(ISNUMBER(SEARCH("research",F495)),ISNUMBER(SEARCH("intel",F495)),ISNUMBER(SEARCH("company",D495)),ISNUMBER(SEARCH("digger",D495))),"Research and intel",
OR(ISNUMBER(SEARCH("prompt",D495)),ISNUMBER(SEARCH("prompt",F495))),"Prompting help",
OR(ISNUMBER(SEARCH("role",D495)),ISNUMBER(SEARCH("scorecard",F495)),ISNUMBER(SEARCH("competenc",F495))),"Role and leadership advisory",
OR(ISNUMBER(SEARCH("meeting",F495)),ISNUMBER(SEARCH("notes",F495)),ISNUMBER(SEARCH("summary",F495))),"Meeting notes and summarization",
TRUE,"Other or fragmented"
)</f>
        <v>Meeting notes and summarization</v>
      </c>
      <c r="O495" s="3" t="s">
        <v>20</v>
      </c>
      <c r="P495" s="3"/>
    </row>
    <row r="496" spans="1:16" x14ac:dyDescent="0.25">
      <c r="A496" t="s">
        <v>15</v>
      </c>
      <c r="B496" s="1">
        <v>45992</v>
      </c>
      <c r="C496" s="1">
        <v>46022</v>
      </c>
      <c r="D496" t="s">
        <v>734</v>
      </c>
      <c r="E496" t="s">
        <v>17</v>
      </c>
      <c r="G496">
        <v>1</v>
      </c>
      <c r="H496" s="1">
        <v>45992</v>
      </c>
      <c r="I496" s="1">
        <v>46001</v>
      </c>
      <c r="J496">
        <v>57</v>
      </c>
      <c r="K496">
        <v>1</v>
      </c>
      <c r="L496" t="s">
        <v>731</v>
      </c>
      <c r="M496" s="9" t="s">
        <v>19</v>
      </c>
      <c r="N496" s="3" t="str" cm="1">
        <f t="array" ref="N496">_xlfn.IFS(
OR(ISNUMBER(SEARCH("email",D496)),ISNUMBER(SEARCH("email",F496)),ISNUMBER(SEARCH("polish",D496)),ISNUMBER(SEARCH("rewrite",F496)),ISNUMBER(SEARCH("copy",F496))),"Writing and comms",
OR(ISNUMBER(SEARCH("research",F496)),ISNUMBER(SEARCH("intel",F496)),ISNUMBER(SEARCH("company",D496)),ISNUMBER(SEARCH("digger",D496))),"Research and intel",
OR(ISNUMBER(SEARCH("prompt",D496)),ISNUMBER(SEARCH("prompt",F496))),"Prompting help",
OR(ISNUMBER(SEARCH("role",D496)),ISNUMBER(SEARCH("scorecard",F496)),ISNUMBER(SEARCH("competenc",F496))),"Role and leadership advisory",
OR(ISNUMBER(SEARCH("meeting",F496)),ISNUMBER(SEARCH("notes",F496)),ISNUMBER(SEARCH("summary",F496))),"Meeting notes and summarization",
TRUE,"Other or fragmented"
)</f>
        <v>Other or fragmented</v>
      </c>
      <c r="O496" s="3" t="s">
        <v>20</v>
      </c>
      <c r="P496" s="3"/>
    </row>
    <row r="497" spans="1:16" x14ac:dyDescent="0.25">
      <c r="A497" t="s">
        <v>15</v>
      </c>
      <c r="B497" s="1">
        <v>45992</v>
      </c>
      <c r="C497" s="1">
        <v>46022</v>
      </c>
      <c r="E497" t="s">
        <v>24</v>
      </c>
      <c r="G497">
        <v>0</v>
      </c>
      <c r="J497">
        <v>0</v>
      </c>
      <c r="K497">
        <v>0</v>
      </c>
      <c r="L497" t="s">
        <v>735</v>
      </c>
      <c r="M497" s="10" t="s">
        <v>19</v>
      </c>
      <c r="N497" s="3" t="str" cm="1">
        <f t="array" ref="N497">_xlfn.IFS(
OR(ISNUMBER(SEARCH("email",D497)),ISNUMBER(SEARCH("email",F497)),ISNUMBER(SEARCH("polish",D497)),ISNUMBER(SEARCH("rewrite",F497)),ISNUMBER(SEARCH("copy",F497))),"Writing and comms",
OR(ISNUMBER(SEARCH("research",F497)),ISNUMBER(SEARCH("intel",F497)),ISNUMBER(SEARCH("company",D497)),ISNUMBER(SEARCH("digger",D497))),"Research and intel",
OR(ISNUMBER(SEARCH("prompt",D497)),ISNUMBER(SEARCH("prompt",F497))),"Prompting help",
OR(ISNUMBER(SEARCH("role",D497)),ISNUMBER(SEARCH("scorecard",F497)),ISNUMBER(SEARCH("competenc",F497))),"Role and leadership advisory",
OR(ISNUMBER(SEARCH("meeting",F497)),ISNUMBER(SEARCH("notes",F497)),ISNUMBER(SEARCH("summary",F497))),"Meeting notes and summarization",
TRUE,"Other or fragmented"
)</f>
        <v>Other or fragmented</v>
      </c>
      <c r="O497" s="3" t="s">
        <v>20</v>
      </c>
      <c r="P497" s="3"/>
    </row>
    <row r="498" spans="1:16" x14ac:dyDescent="0.25">
      <c r="A498" t="s">
        <v>15</v>
      </c>
      <c r="B498" s="1">
        <v>45992</v>
      </c>
      <c r="C498" s="1">
        <v>46022</v>
      </c>
      <c r="D498" t="s">
        <v>736</v>
      </c>
      <c r="E498" t="s">
        <v>24</v>
      </c>
      <c r="G498">
        <v>0</v>
      </c>
      <c r="J498">
        <v>0</v>
      </c>
      <c r="K498">
        <v>0</v>
      </c>
      <c r="L498" t="s">
        <v>737</v>
      </c>
      <c r="M498" s="9" t="s">
        <v>19</v>
      </c>
      <c r="N498" s="3" t="str" cm="1">
        <f t="array" ref="N498">_xlfn.IFS(
OR(ISNUMBER(SEARCH("email",D498)),ISNUMBER(SEARCH("email",F498)),ISNUMBER(SEARCH("polish",D498)),ISNUMBER(SEARCH("rewrite",F498)),ISNUMBER(SEARCH("copy",F498))),"Writing and comms",
OR(ISNUMBER(SEARCH("research",F498)),ISNUMBER(SEARCH("intel",F498)),ISNUMBER(SEARCH("company",D498)),ISNUMBER(SEARCH("digger",D498))),"Research and intel",
OR(ISNUMBER(SEARCH("prompt",D498)),ISNUMBER(SEARCH("prompt",F498))),"Prompting help",
OR(ISNUMBER(SEARCH("role",D498)),ISNUMBER(SEARCH("scorecard",F498)),ISNUMBER(SEARCH("competenc",F498))),"Role and leadership advisory",
OR(ISNUMBER(SEARCH("meeting",F498)),ISNUMBER(SEARCH("notes",F498)),ISNUMBER(SEARCH("summary",F498))),"Meeting notes and summarization",
TRUE,"Other or fragmented"
)</f>
        <v>Other or fragmented</v>
      </c>
      <c r="O498" s="3" t="s">
        <v>20</v>
      </c>
      <c r="P498" s="3"/>
    </row>
    <row r="499" spans="1:16" x14ac:dyDescent="0.25">
      <c r="A499" t="s">
        <v>15</v>
      </c>
      <c r="B499" s="1">
        <v>45992</v>
      </c>
      <c r="C499" s="1">
        <v>46022</v>
      </c>
      <c r="D499" t="s">
        <v>34</v>
      </c>
      <c r="E499" t="s">
        <v>24</v>
      </c>
      <c r="G499">
        <v>0</v>
      </c>
      <c r="J499">
        <v>0</v>
      </c>
      <c r="K499">
        <v>0</v>
      </c>
      <c r="L499" t="s">
        <v>737</v>
      </c>
      <c r="M499" s="10" t="s">
        <v>19</v>
      </c>
      <c r="N499" s="3" t="str" cm="1">
        <f t="array" ref="N499">_xlfn.IFS(
OR(ISNUMBER(SEARCH("email",D499)),ISNUMBER(SEARCH("email",F499)),ISNUMBER(SEARCH("polish",D499)),ISNUMBER(SEARCH("rewrite",F499)),ISNUMBER(SEARCH("copy",F499))),"Writing and comms",
OR(ISNUMBER(SEARCH("research",F499)),ISNUMBER(SEARCH("intel",F499)),ISNUMBER(SEARCH("company",D499)),ISNUMBER(SEARCH("digger",D499))),"Research and intel",
OR(ISNUMBER(SEARCH("prompt",D499)),ISNUMBER(SEARCH("prompt",F499))),"Prompting help",
OR(ISNUMBER(SEARCH("role",D499)),ISNUMBER(SEARCH("scorecard",F499)),ISNUMBER(SEARCH("competenc",F499))),"Role and leadership advisory",
OR(ISNUMBER(SEARCH("meeting",F499)),ISNUMBER(SEARCH("notes",F499)),ISNUMBER(SEARCH("summary",F499))),"Meeting notes and summarization",
TRUE,"Other or fragmented"
)</f>
        <v>Other or fragmented</v>
      </c>
      <c r="O499" s="3" t="s">
        <v>20</v>
      </c>
      <c r="P499" s="3"/>
    </row>
    <row r="500" spans="1:16" x14ac:dyDescent="0.25">
      <c r="A500" t="s">
        <v>15</v>
      </c>
      <c r="B500" s="1">
        <v>45992</v>
      </c>
      <c r="C500" s="1">
        <v>46022</v>
      </c>
      <c r="D500" t="s">
        <v>319</v>
      </c>
      <c r="E500" t="s">
        <v>17</v>
      </c>
      <c r="G500">
        <v>0</v>
      </c>
      <c r="J500">
        <v>0</v>
      </c>
      <c r="K500">
        <v>0</v>
      </c>
      <c r="L500" t="s">
        <v>737</v>
      </c>
      <c r="M500" s="9" t="s">
        <v>19</v>
      </c>
      <c r="N500" s="3" t="str" cm="1">
        <f t="array" ref="N500">_xlfn.IFS(
OR(ISNUMBER(SEARCH("email",D500)),ISNUMBER(SEARCH("email",F500)),ISNUMBER(SEARCH("polish",D500)),ISNUMBER(SEARCH("rewrite",F500)),ISNUMBER(SEARCH("copy",F500))),"Writing and comms",
OR(ISNUMBER(SEARCH("research",F500)),ISNUMBER(SEARCH("intel",F500)),ISNUMBER(SEARCH("company",D500)),ISNUMBER(SEARCH("digger",D500))),"Research and intel",
OR(ISNUMBER(SEARCH("prompt",D500)),ISNUMBER(SEARCH("prompt",F500))),"Prompting help",
OR(ISNUMBER(SEARCH("role",D500)),ISNUMBER(SEARCH("scorecard",F500)),ISNUMBER(SEARCH("competenc",F500))),"Role and leadership advisory",
OR(ISNUMBER(SEARCH("meeting",F500)),ISNUMBER(SEARCH("notes",F500)),ISNUMBER(SEARCH("summary",F500))),"Meeting notes and summarization",
TRUE,"Other or fragmented"
)</f>
        <v>Other or fragmented</v>
      </c>
      <c r="O500" s="3" t="s">
        <v>20</v>
      </c>
      <c r="P500" s="3"/>
    </row>
    <row r="501" spans="1:16" x14ac:dyDescent="0.25">
      <c r="A501" t="s">
        <v>15</v>
      </c>
      <c r="B501" s="1">
        <v>45992</v>
      </c>
      <c r="C501" s="1">
        <v>46022</v>
      </c>
      <c r="D501" t="s">
        <v>34</v>
      </c>
      <c r="E501" t="s">
        <v>24</v>
      </c>
      <c r="G501">
        <v>0</v>
      </c>
      <c r="J501">
        <v>0</v>
      </c>
      <c r="K501">
        <v>0</v>
      </c>
      <c r="L501" t="s">
        <v>737</v>
      </c>
      <c r="M501" s="10" t="s">
        <v>19</v>
      </c>
      <c r="N501" s="3" t="str" cm="1">
        <f t="array" ref="N501">_xlfn.IFS(
OR(ISNUMBER(SEARCH("email",D501)),ISNUMBER(SEARCH("email",F501)),ISNUMBER(SEARCH("polish",D501)),ISNUMBER(SEARCH("rewrite",F501)),ISNUMBER(SEARCH("copy",F501))),"Writing and comms",
OR(ISNUMBER(SEARCH("research",F501)),ISNUMBER(SEARCH("intel",F501)),ISNUMBER(SEARCH("company",D501)),ISNUMBER(SEARCH("digger",D501))),"Research and intel",
OR(ISNUMBER(SEARCH("prompt",D501)),ISNUMBER(SEARCH("prompt",F501))),"Prompting help",
OR(ISNUMBER(SEARCH("role",D501)),ISNUMBER(SEARCH("scorecard",F501)),ISNUMBER(SEARCH("competenc",F501))),"Role and leadership advisory",
OR(ISNUMBER(SEARCH("meeting",F501)),ISNUMBER(SEARCH("notes",F501)),ISNUMBER(SEARCH("summary",F501))),"Meeting notes and summarization",
TRUE,"Other or fragmented"
)</f>
        <v>Other or fragmented</v>
      </c>
      <c r="O501" s="3" t="s">
        <v>20</v>
      </c>
      <c r="P501" s="3"/>
    </row>
    <row r="502" spans="1:16" x14ac:dyDescent="0.25">
      <c r="A502" t="s">
        <v>15</v>
      </c>
      <c r="B502" s="1">
        <v>45992</v>
      </c>
      <c r="C502" s="1">
        <v>46022</v>
      </c>
      <c r="D502" t="s">
        <v>738</v>
      </c>
      <c r="E502" t="s">
        <v>17</v>
      </c>
      <c r="F502" t="s">
        <v>739</v>
      </c>
      <c r="G502">
        <v>1</v>
      </c>
      <c r="H502" s="1">
        <v>45992</v>
      </c>
      <c r="I502" s="1">
        <v>46021</v>
      </c>
      <c r="J502">
        <v>40</v>
      </c>
      <c r="K502">
        <v>4</v>
      </c>
      <c r="L502" t="s">
        <v>740</v>
      </c>
      <c r="M502" s="9" t="s">
        <v>19</v>
      </c>
      <c r="N502" s="3" t="str" cm="1">
        <f t="array" ref="N502">_xlfn.IFS(
OR(ISNUMBER(SEARCH("email",D502)),ISNUMBER(SEARCH("email",F502)),ISNUMBER(SEARCH("polish",D502)),ISNUMBER(SEARCH("rewrite",F502)),ISNUMBER(SEARCH("copy",F502))),"Writing and comms",
OR(ISNUMBER(SEARCH("research",F502)),ISNUMBER(SEARCH("intel",F502)),ISNUMBER(SEARCH("company",D502)),ISNUMBER(SEARCH("digger",D502))),"Research and intel",
OR(ISNUMBER(SEARCH("prompt",D502)),ISNUMBER(SEARCH("prompt",F502))),"Prompting help",
OR(ISNUMBER(SEARCH("role",D502)),ISNUMBER(SEARCH("scorecard",F502)),ISNUMBER(SEARCH("competenc",F502))),"Role and leadership advisory",
OR(ISNUMBER(SEARCH("meeting",F502)),ISNUMBER(SEARCH("notes",F502)),ISNUMBER(SEARCH("summary",F502))),"Meeting notes and summarization",
TRUE,"Other or fragmented"
)</f>
        <v>Meeting notes and summarization</v>
      </c>
      <c r="O502" s="3" t="s">
        <v>20</v>
      </c>
      <c r="P502" s="3"/>
    </row>
    <row r="503" spans="1:16" x14ac:dyDescent="0.25">
      <c r="A503" t="s">
        <v>15</v>
      </c>
      <c r="B503" s="1">
        <v>45992</v>
      </c>
      <c r="C503" s="1">
        <v>46022</v>
      </c>
      <c r="D503" t="s">
        <v>741</v>
      </c>
      <c r="E503" t="s">
        <v>17</v>
      </c>
      <c r="F503" t="s">
        <v>742</v>
      </c>
      <c r="G503">
        <v>1</v>
      </c>
      <c r="H503" s="1">
        <v>46013</v>
      </c>
      <c r="I503" s="1">
        <v>46014</v>
      </c>
      <c r="J503">
        <v>5</v>
      </c>
      <c r="K503">
        <v>2</v>
      </c>
      <c r="L503" t="s">
        <v>740</v>
      </c>
      <c r="M503" s="10" t="s">
        <v>19</v>
      </c>
      <c r="N503" s="3" t="str" cm="1">
        <f t="array" ref="N503">_xlfn.IFS(
OR(ISNUMBER(SEARCH("email",D503)),ISNUMBER(SEARCH("email",F503)),ISNUMBER(SEARCH("polish",D503)),ISNUMBER(SEARCH("rewrite",F503)),ISNUMBER(SEARCH("copy",F503))),"Writing and comms",
OR(ISNUMBER(SEARCH("research",F503)),ISNUMBER(SEARCH("intel",F503)),ISNUMBER(SEARCH("company",D503)),ISNUMBER(SEARCH("digger",D503))),"Research and intel",
OR(ISNUMBER(SEARCH("prompt",D503)),ISNUMBER(SEARCH("prompt",F503))),"Prompting help",
OR(ISNUMBER(SEARCH("role",D503)),ISNUMBER(SEARCH("scorecard",F503)),ISNUMBER(SEARCH("competenc",F503))),"Role and leadership advisory",
OR(ISNUMBER(SEARCH("meeting",F503)),ISNUMBER(SEARCH("notes",F503)),ISNUMBER(SEARCH("summary",F503))),"Meeting notes and summarization",
TRUE,"Other or fragmented"
)</f>
        <v>Other or fragmented</v>
      </c>
      <c r="O503" s="3" t="s">
        <v>20</v>
      </c>
      <c r="P503" s="3"/>
    </row>
    <row r="504" spans="1:16" x14ac:dyDescent="0.25">
      <c r="A504" t="s">
        <v>15</v>
      </c>
      <c r="B504" s="1">
        <v>45992</v>
      </c>
      <c r="C504" s="1">
        <v>46022</v>
      </c>
      <c r="D504" t="s">
        <v>743</v>
      </c>
      <c r="E504" t="s">
        <v>17</v>
      </c>
      <c r="F504" t="s">
        <v>744</v>
      </c>
      <c r="G504">
        <v>1</v>
      </c>
      <c r="H504" s="1">
        <v>45994</v>
      </c>
      <c r="I504" s="1">
        <v>45994</v>
      </c>
      <c r="J504">
        <v>1</v>
      </c>
      <c r="K504">
        <v>1</v>
      </c>
      <c r="L504" t="s">
        <v>740</v>
      </c>
      <c r="M504" s="9" t="s">
        <v>19</v>
      </c>
      <c r="N504" s="3" t="str" cm="1">
        <f t="array" ref="N504">_xlfn.IFS(
OR(ISNUMBER(SEARCH("email",D504)),ISNUMBER(SEARCH("email",F504)),ISNUMBER(SEARCH("polish",D504)),ISNUMBER(SEARCH("rewrite",F504)),ISNUMBER(SEARCH("copy",F504))),"Writing and comms",
OR(ISNUMBER(SEARCH("research",F504)),ISNUMBER(SEARCH("intel",F504)),ISNUMBER(SEARCH("company",D504)),ISNUMBER(SEARCH("digger",D504))),"Research and intel",
OR(ISNUMBER(SEARCH("prompt",D504)),ISNUMBER(SEARCH("prompt",F504))),"Prompting help",
OR(ISNUMBER(SEARCH("role",D504)),ISNUMBER(SEARCH("scorecard",F504)),ISNUMBER(SEARCH("competenc",F504))),"Role and leadership advisory",
OR(ISNUMBER(SEARCH("meeting",F504)),ISNUMBER(SEARCH("notes",F504)),ISNUMBER(SEARCH("summary",F504))),"Meeting notes and summarization",
TRUE,"Other or fragmented"
)</f>
        <v>Other or fragmented</v>
      </c>
      <c r="O504" s="3" t="s">
        <v>20</v>
      </c>
      <c r="P504" s="3"/>
    </row>
    <row r="505" spans="1:16" x14ac:dyDescent="0.25">
      <c r="A505" t="s">
        <v>15</v>
      </c>
      <c r="B505" s="1">
        <v>45992</v>
      </c>
      <c r="C505" s="1">
        <v>46022</v>
      </c>
      <c r="D505" t="s">
        <v>745</v>
      </c>
      <c r="E505" t="s">
        <v>17</v>
      </c>
      <c r="F505" t="s">
        <v>746</v>
      </c>
      <c r="G505">
        <v>1</v>
      </c>
      <c r="H505" s="1">
        <v>46003</v>
      </c>
      <c r="I505" s="1">
        <v>46013</v>
      </c>
      <c r="J505">
        <v>3</v>
      </c>
      <c r="K505">
        <v>1</v>
      </c>
      <c r="L505" t="s">
        <v>740</v>
      </c>
      <c r="M505" s="10" t="s">
        <v>19</v>
      </c>
      <c r="N505" s="3" t="str" cm="1">
        <f t="array" ref="N505">_xlfn.IFS(
OR(ISNUMBER(SEARCH("email",D505)),ISNUMBER(SEARCH("email",F505)),ISNUMBER(SEARCH("polish",D505)),ISNUMBER(SEARCH("rewrite",F505)),ISNUMBER(SEARCH("copy",F505))),"Writing and comms",
OR(ISNUMBER(SEARCH("research",F505)),ISNUMBER(SEARCH("intel",F505)),ISNUMBER(SEARCH("company",D505)),ISNUMBER(SEARCH("digger",D505))),"Research and intel",
OR(ISNUMBER(SEARCH("prompt",D505)),ISNUMBER(SEARCH("prompt",F505))),"Prompting help",
OR(ISNUMBER(SEARCH("role",D505)),ISNUMBER(SEARCH("scorecard",F505)),ISNUMBER(SEARCH("competenc",F505))),"Role and leadership advisory",
OR(ISNUMBER(SEARCH("meeting",F505)),ISNUMBER(SEARCH("notes",F505)),ISNUMBER(SEARCH("summary",F505))),"Meeting notes and summarization",
TRUE,"Other or fragmented"
)</f>
        <v>Writing and comms</v>
      </c>
      <c r="O505" s="3" t="s">
        <v>20</v>
      </c>
      <c r="P505" s="3"/>
    </row>
    <row r="506" spans="1:16" x14ac:dyDescent="0.25">
      <c r="A506" t="s">
        <v>15</v>
      </c>
      <c r="B506" s="1">
        <v>45992</v>
      </c>
      <c r="C506" s="1">
        <v>46022</v>
      </c>
      <c r="D506" t="s">
        <v>747</v>
      </c>
      <c r="E506" t="s">
        <v>17</v>
      </c>
      <c r="F506" t="s">
        <v>748</v>
      </c>
      <c r="G506">
        <v>1</v>
      </c>
      <c r="H506" s="1">
        <v>46007</v>
      </c>
      <c r="I506" s="1">
        <v>46007</v>
      </c>
      <c r="J506">
        <v>4</v>
      </c>
      <c r="K506">
        <v>1</v>
      </c>
      <c r="L506" t="s">
        <v>740</v>
      </c>
      <c r="M506" s="9" t="s">
        <v>19</v>
      </c>
      <c r="N506" s="3" t="str" cm="1">
        <f t="array" ref="N506">_xlfn.IFS(
OR(ISNUMBER(SEARCH("email",D506)),ISNUMBER(SEARCH("email",F506)),ISNUMBER(SEARCH("polish",D506)),ISNUMBER(SEARCH("rewrite",F506)),ISNUMBER(SEARCH("copy",F506))),"Writing and comms",
OR(ISNUMBER(SEARCH("research",F506)),ISNUMBER(SEARCH("intel",F506)),ISNUMBER(SEARCH("company",D506)),ISNUMBER(SEARCH("digger",D506))),"Research and intel",
OR(ISNUMBER(SEARCH("prompt",D506)),ISNUMBER(SEARCH("prompt",F506))),"Prompting help",
OR(ISNUMBER(SEARCH("role",D506)),ISNUMBER(SEARCH("scorecard",F506)),ISNUMBER(SEARCH("competenc",F506))),"Role and leadership advisory",
OR(ISNUMBER(SEARCH("meeting",F506)),ISNUMBER(SEARCH("notes",F506)),ISNUMBER(SEARCH("summary",F506))),"Meeting notes and summarization",
TRUE,"Other or fragmented"
)</f>
        <v>Other or fragmented</v>
      </c>
      <c r="O506" s="3" t="s">
        <v>20</v>
      </c>
      <c r="P506" s="3"/>
    </row>
    <row r="507" spans="1:16" x14ac:dyDescent="0.25">
      <c r="A507" t="s">
        <v>15</v>
      </c>
      <c r="B507" s="1">
        <v>45992</v>
      </c>
      <c r="C507" s="1">
        <v>46022</v>
      </c>
      <c r="D507" t="s">
        <v>749</v>
      </c>
      <c r="E507" t="s">
        <v>17</v>
      </c>
      <c r="F507" t="s">
        <v>750</v>
      </c>
      <c r="G507">
        <v>1</v>
      </c>
      <c r="H507" s="1">
        <v>45998</v>
      </c>
      <c r="I507" s="1">
        <v>46013</v>
      </c>
      <c r="J507">
        <v>6</v>
      </c>
      <c r="K507">
        <v>1</v>
      </c>
      <c r="L507" t="s">
        <v>740</v>
      </c>
      <c r="M507" s="10" t="s">
        <v>19</v>
      </c>
      <c r="N507" s="3" t="str" cm="1">
        <f t="array" ref="N507">_xlfn.IFS(
OR(ISNUMBER(SEARCH("email",D507)),ISNUMBER(SEARCH("email",F507)),ISNUMBER(SEARCH("polish",D507)),ISNUMBER(SEARCH("rewrite",F507)),ISNUMBER(SEARCH("copy",F507))),"Writing and comms",
OR(ISNUMBER(SEARCH("research",F507)),ISNUMBER(SEARCH("intel",F507)),ISNUMBER(SEARCH("company",D507)),ISNUMBER(SEARCH("digger",D507))),"Research and intel",
OR(ISNUMBER(SEARCH("prompt",D507)),ISNUMBER(SEARCH("prompt",F507))),"Prompting help",
OR(ISNUMBER(SEARCH("role",D507)),ISNUMBER(SEARCH("scorecard",F507)),ISNUMBER(SEARCH("competenc",F507))),"Role and leadership advisory",
OR(ISNUMBER(SEARCH("meeting",F507)),ISNUMBER(SEARCH("notes",F507)),ISNUMBER(SEARCH("summary",F507))),"Meeting notes and summarization",
TRUE,"Other or fragmented"
)</f>
        <v>Writing and comms</v>
      </c>
      <c r="O507" s="3" t="s">
        <v>20</v>
      </c>
      <c r="P507" s="3"/>
    </row>
    <row r="508" spans="1:16" x14ac:dyDescent="0.25">
      <c r="A508" t="s">
        <v>15</v>
      </c>
      <c r="B508" s="1">
        <v>45992</v>
      </c>
      <c r="C508" s="1">
        <v>46022</v>
      </c>
      <c r="D508" t="s">
        <v>751</v>
      </c>
      <c r="E508" t="s">
        <v>17</v>
      </c>
      <c r="F508" t="s">
        <v>752</v>
      </c>
      <c r="G508">
        <v>1</v>
      </c>
      <c r="H508" s="1">
        <v>46003</v>
      </c>
      <c r="I508" s="1">
        <v>46003</v>
      </c>
      <c r="J508">
        <v>9</v>
      </c>
      <c r="K508">
        <v>1</v>
      </c>
      <c r="L508" t="s">
        <v>740</v>
      </c>
      <c r="M508" s="9" t="s">
        <v>19</v>
      </c>
      <c r="N508" s="3" t="str" cm="1">
        <f t="array" ref="N508">_xlfn.IFS(
OR(ISNUMBER(SEARCH("email",D508)),ISNUMBER(SEARCH("email",F508)),ISNUMBER(SEARCH("polish",D508)),ISNUMBER(SEARCH("rewrite",F508)),ISNUMBER(SEARCH("copy",F508))),"Writing and comms",
OR(ISNUMBER(SEARCH("research",F508)),ISNUMBER(SEARCH("intel",F508)),ISNUMBER(SEARCH("company",D508)),ISNUMBER(SEARCH("digger",D508))),"Research and intel",
OR(ISNUMBER(SEARCH("prompt",D508)),ISNUMBER(SEARCH("prompt",F508))),"Prompting help",
OR(ISNUMBER(SEARCH("role",D508)),ISNUMBER(SEARCH("scorecard",F508)),ISNUMBER(SEARCH("competenc",F508))),"Role and leadership advisory",
OR(ISNUMBER(SEARCH("meeting",F508)),ISNUMBER(SEARCH("notes",F508)),ISNUMBER(SEARCH("summary",F508))),"Meeting notes and summarization",
TRUE,"Other or fragmented"
)</f>
        <v>Writing and comms</v>
      </c>
      <c r="O508" s="3" t="s">
        <v>20</v>
      </c>
      <c r="P508" s="3"/>
    </row>
    <row r="509" spans="1:16" x14ac:dyDescent="0.25">
      <c r="A509" t="s">
        <v>15</v>
      </c>
      <c r="B509" s="1">
        <v>45992</v>
      </c>
      <c r="C509" s="1">
        <v>46022</v>
      </c>
      <c r="D509" t="s">
        <v>753</v>
      </c>
      <c r="E509" t="s">
        <v>17</v>
      </c>
      <c r="F509" t="s">
        <v>754</v>
      </c>
      <c r="G509">
        <v>1</v>
      </c>
      <c r="H509" s="1">
        <v>45998</v>
      </c>
      <c r="I509" s="1">
        <v>46013</v>
      </c>
      <c r="J509">
        <v>23</v>
      </c>
      <c r="K509">
        <v>1</v>
      </c>
      <c r="L509" t="s">
        <v>740</v>
      </c>
      <c r="M509" s="10" t="s">
        <v>19</v>
      </c>
      <c r="N509" s="3" t="str" cm="1">
        <f t="array" ref="N509">_xlfn.IFS(
OR(ISNUMBER(SEARCH("email",D509)),ISNUMBER(SEARCH("email",F509)),ISNUMBER(SEARCH("polish",D509)),ISNUMBER(SEARCH("rewrite",F509)),ISNUMBER(SEARCH("copy",F509))),"Writing and comms",
OR(ISNUMBER(SEARCH("research",F509)),ISNUMBER(SEARCH("intel",F509)),ISNUMBER(SEARCH("company",D509)),ISNUMBER(SEARCH("digger",D509))),"Research and intel",
OR(ISNUMBER(SEARCH("prompt",D509)),ISNUMBER(SEARCH("prompt",F509))),"Prompting help",
OR(ISNUMBER(SEARCH("role",D509)),ISNUMBER(SEARCH("scorecard",F509)),ISNUMBER(SEARCH("competenc",F509))),"Role and leadership advisory",
OR(ISNUMBER(SEARCH("meeting",F509)),ISNUMBER(SEARCH("notes",F509)),ISNUMBER(SEARCH("summary",F509))),"Meeting notes and summarization",
TRUE,"Other or fragmented"
)</f>
        <v>Writing and comms</v>
      </c>
      <c r="O509" s="3" t="s">
        <v>20</v>
      </c>
      <c r="P509" s="3"/>
    </row>
    <row r="510" spans="1:16" x14ac:dyDescent="0.25">
      <c r="A510" t="s">
        <v>15</v>
      </c>
      <c r="B510" s="1">
        <v>45992</v>
      </c>
      <c r="C510" s="1">
        <v>46022</v>
      </c>
      <c r="D510" t="s">
        <v>755</v>
      </c>
      <c r="E510" t="s">
        <v>17</v>
      </c>
      <c r="F510" t="s">
        <v>756</v>
      </c>
      <c r="G510">
        <v>1</v>
      </c>
      <c r="H510" s="1">
        <v>45992</v>
      </c>
      <c r="I510" s="1">
        <v>46008</v>
      </c>
      <c r="J510">
        <v>31</v>
      </c>
      <c r="K510">
        <v>1</v>
      </c>
      <c r="L510" t="s">
        <v>740</v>
      </c>
      <c r="M510" s="9" t="s">
        <v>19</v>
      </c>
      <c r="N510" s="3" t="str" cm="1">
        <f t="array" ref="N510">_xlfn.IFS(
OR(ISNUMBER(SEARCH("email",D510)),ISNUMBER(SEARCH("email",F510)),ISNUMBER(SEARCH("polish",D510)),ISNUMBER(SEARCH("rewrite",F510)),ISNUMBER(SEARCH("copy",F510))),"Writing and comms",
OR(ISNUMBER(SEARCH("research",F510)),ISNUMBER(SEARCH("intel",F510)),ISNUMBER(SEARCH("company",D510)),ISNUMBER(SEARCH("digger",D510))),"Research and intel",
OR(ISNUMBER(SEARCH("prompt",D510)),ISNUMBER(SEARCH("prompt",F510))),"Prompting help",
OR(ISNUMBER(SEARCH("role",D510)),ISNUMBER(SEARCH("scorecard",F510)),ISNUMBER(SEARCH("competenc",F510))),"Role and leadership advisory",
OR(ISNUMBER(SEARCH("meeting",F510)),ISNUMBER(SEARCH("notes",F510)),ISNUMBER(SEARCH("summary",F510))),"Meeting notes and summarization",
TRUE,"Other or fragmented"
)</f>
        <v>Meeting notes and summarization</v>
      </c>
      <c r="O510" s="3" t="s">
        <v>20</v>
      </c>
      <c r="P510" s="3"/>
    </row>
    <row r="511" spans="1:16" x14ac:dyDescent="0.25">
      <c r="A511" t="s">
        <v>15</v>
      </c>
      <c r="B511" s="1">
        <v>45992</v>
      </c>
      <c r="C511" s="1">
        <v>46022</v>
      </c>
      <c r="D511" t="s">
        <v>757</v>
      </c>
      <c r="E511" t="s">
        <v>17</v>
      </c>
      <c r="F511" t="s">
        <v>758</v>
      </c>
      <c r="G511">
        <v>0</v>
      </c>
      <c r="J511">
        <v>0</v>
      </c>
      <c r="K511">
        <v>0</v>
      </c>
      <c r="L511" t="s">
        <v>740</v>
      </c>
      <c r="M511" s="10" t="s">
        <v>19</v>
      </c>
      <c r="N511" s="3" t="str" cm="1">
        <f t="array" ref="N511">_xlfn.IFS(
OR(ISNUMBER(SEARCH("email",D511)),ISNUMBER(SEARCH("email",F511)),ISNUMBER(SEARCH("polish",D511)),ISNUMBER(SEARCH("rewrite",F511)),ISNUMBER(SEARCH("copy",F511))),"Writing and comms",
OR(ISNUMBER(SEARCH("research",F511)),ISNUMBER(SEARCH("intel",F511)),ISNUMBER(SEARCH("company",D511)),ISNUMBER(SEARCH("digger",D511))),"Research and intel",
OR(ISNUMBER(SEARCH("prompt",D511)),ISNUMBER(SEARCH("prompt",F511))),"Prompting help",
OR(ISNUMBER(SEARCH("role",D511)),ISNUMBER(SEARCH("scorecard",F511)),ISNUMBER(SEARCH("competenc",F511))),"Role and leadership advisory",
OR(ISNUMBER(SEARCH("meeting",F511)),ISNUMBER(SEARCH("notes",F511)),ISNUMBER(SEARCH("summary",F511))),"Meeting notes and summarization",
TRUE,"Other or fragmented"
)</f>
        <v>Writing and comms</v>
      </c>
      <c r="O511" s="3" t="s">
        <v>20</v>
      </c>
      <c r="P511" s="3"/>
    </row>
    <row r="512" spans="1:16" x14ac:dyDescent="0.25">
      <c r="A512" t="s">
        <v>15</v>
      </c>
      <c r="B512" s="1">
        <v>45992</v>
      </c>
      <c r="C512" s="1">
        <v>46022</v>
      </c>
      <c r="D512" t="s">
        <v>759</v>
      </c>
      <c r="E512" t="s">
        <v>17</v>
      </c>
      <c r="F512" t="s">
        <v>760</v>
      </c>
      <c r="G512">
        <v>0</v>
      </c>
      <c r="J512">
        <v>0</v>
      </c>
      <c r="K512">
        <v>0</v>
      </c>
      <c r="L512" t="s">
        <v>740</v>
      </c>
      <c r="M512" s="9" t="s">
        <v>19</v>
      </c>
      <c r="N512" s="3" t="str" cm="1">
        <f t="array" ref="N512">_xlfn.IFS(
OR(ISNUMBER(SEARCH("email",D512)),ISNUMBER(SEARCH("email",F512)),ISNUMBER(SEARCH("polish",D512)),ISNUMBER(SEARCH("rewrite",F512)),ISNUMBER(SEARCH("copy",F512))),"Writing and comms",
OR(ISNUMBER(SEARCH("research",F512)),ISNUMBER(SEARCH("intel",F512)),ISNUMBER(SEARCH("company",D512)),ISNUMBER(SEARCH("digger",D512))),"Research and intel",
OR(ISNUMBER(SEARCH("prompt",D512)),ISNUMBER(SEARCH("prompt",F512))),"Prompting help",
OR(ISNUMBER(SEARCH("role",D512)),ISNUMBER(SEARCH("scorecard",F512)),ISNUMBER(SEARCH("competenc",F512))),"Role and leadership advisory",
OR(ISNUMBER(SEARCH("meeting",F512)),ISNUMBER(SEARCH("notes",F512)),ISNUMBER(SEARCH("summary",F512))),"Meeting notes and summarization",
TRUE,"Other or fragmented"
)</f>
        <v>Other or fragmented</v>
      </c>
      <c r="O512" s="3" t="s">
        <v>20</v>
      </c>
      <c r="P512" s="3"/>
    </row>
    <row r="513" spans="1:16" x14ac:dyDescent="0.25">
      <c r="A513" t="s">
        <v>15</v>
      </c>
      <c r="B513" s="1">
        <v>45992</v>
      </c>
      <c r="C513" s="1">
        <v>46022</v>
      </c>
      <c r="D513" t="s">
        <v>761</v>
      </c>
      <c r="E513" t="s">
        <v>24</v>
      </c>
      <c r="G513">
        <v>0</v>
      </c>
      <c r="J513">
        <v>0</v>
      </c>
      <c r="K513">
        <v>0</v>
      </c>
      <c r="L513" t="s">
        <v>740</v>
      </c>
      <c r="M513" s="10" t="s">
        <v>19</v>
      </c>
      <c r="N513" s="3" t="str" cm="1">
        <f t="array" ref="N513">_xlfn.IFS(
OR(ISNUMBER(SEARCH("email",D513)),ISNUMBER(SEARCH("email",F513)),ISNUMBER(SEARCH("polish",D513)),ISNUMBER(SEARCH("rewrite",F513)),ISNUMBER(SEARCH("copy",F513))),"Writing and comms",
OR(ISNUMBER(SEARCH("research",F513)),ISNUMBER(SEARCH("intel",F513)),ISNUMBER(SEARCH("company",D513)),ISNUMBER(SEARCH("digger",D513))),"Research and intel",
OR(ISNUMBER(SEARCH("prompt",D513)),ISNUMBER(SEARCH("prompt",F513))),"Prompting help",
OR(ISNUMBER(SEARCH("role",D513)),ISNUMBER(SEARCH("scorecard",F513)),ISNUMBER(SEARCH("competenc",F513))),"Role and leadership advisory",
OR(ISNUMBER(SEARCH("meeting",F513)),ISNUMBER(SEARCH("notes",F513)),ISNUMBER(SEARCH("summary",F513))),"Meeting notes and summarization",
TRUE,"Other or fragmented"
)</f>
        <v>Other or fragmented</v>
      </c>
      <c r="O513" s="3" t="s">
        <v>20</v>
      </c>
      <c r="P513" s="3"/>
    </row>
    <row r="514" spans="1:16" x14ac:dyDescent="0.25">
      <c r="A514" t="s">
        <v>15</v>
      </c>
      <c r="B514" s="1">
        <v>45992</v>
      </c>
      <c r="C514" s="1">
        <v>46022</v>
      </c>
      <c r="D514" t="s">
        <v>762</v>
      </c>
      <c r="E514" t="s">
        <v>17</v>
      </c>
      <c r="F514" t="s">
        <v>763</v>
      </c>
      <c r="G514">
        <v>0</v>
      </c>
      <c r="J514">
        <v>0</v>
      </c>
      <c r="K514">
        <v>0</v>
      </c>
      <c r="L514" t="s">
        <v>740</v>
      </c>
      <c r="M514" s="9" t="s">
        <v>19</v>
      </c>
      <c r="N514" s="3" t="str" cm="1">
        <f t="array" ref="N514">_xlfn.IFS(
OR(ISNUMBER(SEARCH("email",D514)),ISNUMBER(SEARCH("email",F514)),ISNUMBER(SEARCH("polish",D514)),ISNUMBER(SEARCH("rewrite",F514)),ISNUMBER(SEARCH("copy",F514))),"Writing and comms",
OR(ISNUMBER(SEARCH("research",F514)),ISNUMBER(SEARCH("intel",F514)),ISNUMBER(SEARCH("company",D514)),ISNUMBER(SEARCH("digger",D514))),"Research and intel",
OR(ISNUMBER(SEARCH("prompt",D514)),ISNUMBER(SEARCH("prompt",F514))),"Prompting help",
OR(ISNUMBER(SEARCH("role",D514)),ISNUMBER(SEARCH("scorecard",F514)),ISNUMBER(SEARCH("competenc",F514))),"Role and leadership advisory",
OR(ISNUMBER(SEARCH("meeting",F514)),ISNUMBER(SEARCH("notes",F514)),ISNUMBER(SEARCH("summary",F514))),"Meeting notes and summarization",
TRUE,"Other or fragmented"
)</f>
        <v>Other or fragmented</v>
      </c>
      <c r="O514" s="3" t="s">
        <v>20</v>
      </c>
      <c r="P514" s="3"/>
    </row>
    <row r="515" spans="1:16" x14ac:dyDescent="0.25">
      <c r="A515" t="s">
        <v>15</v>
      </c>
      <c r="B515" s="1">
        <v>45992</v>
      </c>
      <c r="C515" s="1">
        <v>46022</v>
      </c>
      <c r="D515" t="s">
        <v>764</v>
      </c>
      <c r="E515" t="s">
        <v>17</v>
      </c>
      <c r="F515" t="s">
        <v>765</v>
      </c>
      <c r="G515">
        <v>0</v>
      </c>
      <c r="J515">
        <v>0</v>
      </c>
      <c r="K515">
        <v>0</v>
      </c>
      <c r="L515" t="s">
        <v>740</v>
      </c>
      <c r="M515" s="10" t="s">
        <v>19</v>
      </c>
      <c r="N515" s="3" t="str" cm="1">
        <f t="array" ref="N515">_xlfn.IFS(
OR(ISNUMBER(SEARCH("email",D515)),ISNUMBER(SEARCH("email",F515)),ISNUMBER(SEARCH("polish",D515)),ISNUMBER(SEARCH("rewrite",F515)),ISNUMBER(SEARCH("copy",F515))),"Writing and comms",
OR(ISNUMBER(SEARCH("research",F515)),ISNUMBER(SEARCH("intel",F515)),ISNUMBER(SEARCH("company",D515)),ISNUMBER(SEARCH("digger",D515))),"Research and intel",
OR(ISNUMBER(SEARCH("prompt",D515)),ISNUMBER(SEARCH("prompt",F515))),"Prompting help",
OR(ISNUMBER(SEARCH("role",D515)),ISNUMBER(SEARCH("scorecard",F515)),ISNUMBER(SEARCH("competenc",F515))),"Role and leadership advisory",
OR(ISNUMBER(SEARCH("meeting",F515)),ISNUMBER(SEARCH("notes",F515)),ISNUMBER(SEARCH("summary",F515))),"Meeting notes and summarization",
TRUE,"Other or fragmented"
)</f>
        <v>Other or fragmented</v>
      </c>
      <c r="O515" s="3" t="s">
        <v>20</v>
      </c>
      <c r="P515" s="3"/>
    </row>
    <row r="516" spans="1:16" x14ac:dyDescent="0.25">
      <c r="A516" t="s">
        <v>15</v>
      </c>
      <c r="B516" s="1">
        <v>45992</v>
      </c>
      <c r="C516" s="1">
        <v>46022</v>
      </c>
      <c r="D516" t="s">
        <v>766</v>
      </c>
      <c r="E516" t="s">
        <v>17</v>
      </c>
      <c r="F516" t="s">
        <v>767</v>
      </c>
      <c r="G516">
        <v>0</v>
      </c>
      <c r="J516">
        <v>0</v>
      </c>
      <c r="K516">
        <v>0</v>
      </c>
      <c r="L516" t="s">
        <v>740</v>
      </c>
      <c r="M516" s="9" t="s">
        <v>19</v>
      </c>
      <c r="N516" s="3" t="str" cm="1">
        <f t="array" ref="N516">_xlfn.IFS(
OR(ISNUMBER(SEARCH("email",D516)),ISNUMBER(SEARCH("email",F516)),ISNUMBER(SEARCH("polish",D516)),ISNUMBER(SEARCH("rewrite",F516)),ISNUMBER(SEARCH("copy",F516))),"Writing and comms",
OR(ISNUMBER(SEARCH("research",F516)),ISNUMBER(SEARCH("intel",F516)),ISNUMBER(SEARCH("company",D516)),ISNUMBER(SEARCH("digger",D516))),"Research and intel",
OR(ISNUMBER(SEARCH("prompt",D516)),ISNUMBER(SEARCH("prompt",F516))),"Prompting help",
OR(ISNUMBER(SEARCH("role",D516)),ISNUMBER(SEARCH("scorecard",F516)),ISNUMBER(SEARCH("competenc",F516))),"Role and leadership advisory",
OR(ISNUMBER(SEARCH("meeting",F516)),ISNUMBER(SEARCH("notes",F516)),ISNUMBER(SEARCH("summary",F516))),"Meeting notes and summarization",
TRUE,"Other or fragmented"
)</f>
        <v>Other or fragmented</v>
      </c>
      <c r="O516" s="3" t="s">
        <v>20</v>
      </c>
      <c r="P516" s="3"/>
    </row>
    <row r="517" spans="1:16" x14ac:dyDescent="0.25">
      <c r="A517" t="s">
        <v>15</v>
      </c>
      <c r="B517" s="1">
        <v>45992</v>
      </c>
      <c r="C517" s="1">
        <v>46022</v>
      </c>
      <c r="D517" t="s">
        <v>768</v>
      </c>
      <c r="E517" t="s">
        <v>24</v>
      </c>
      <c r="F517" t="s">
        <v>739</v>
      </c>
      <c r="G517">
        <v>0</v>
      </c>
      <c r="J517">
        <v>0</v>
      </c>
      <c r="K517">
        <v>0</v>
      </c>
      <c r="L517" t="s">
        <v>740</v>
      </c>
      <c r="M517" s="10" t="s">
        <v>19</v>
      </c>
      <c r="N517" s="3" t="str" cm="1">
        <f t="array" ref="N517">_xlfn.IFS(
OR(ISNUMBER(SEARCH("email",D517)),ISNUMBER(SEARCH("email",F517)),ISNUMBER(SEARCH("polish",D517)),ISNUMBER(SEARCH("rewrite",F517)),ISNUMBER(SEARCH("copy",F517))),"Writing and comms",
OR(ISNUMBER(SEARCH("research",F517)),ISNUMBER(SEARCH("intel",F517)),ISNUMBER(SEARCH("company",D517)),ISNUMBER(SEARCH("digger",D517))),"Research and intel",
OR(ISNUMBER(SEARCH("prompt",D517)),ISNUMBER(SEARCH("prompt",F517))),"Prompting help",
OR(ISNUMBER(SEARCH("role",D517)),ISNUMBER(SEARCH("scorecard",F517)),ISNUMBER(SEARCH("competenc",F517))),"Role and leadership advisory",
OR(ISNUMBER(SEARCH("meeting",F517)),ISNUMBER(SEARCH("notes",F517)),ISNUMBER(SEARCH("summary",F517))),"Meeting notes and summarization",
TRUE,"Other or fragmented"
)</f>
        <v>Meeting notes and summarization</v>
      </c>
      <c r="O517" s="3" t="s">
        <v>20</v>
      </c>
      <c r="P517" s="3"/>
    </row>
    <row r="518" spans="1:16" x14ac:dyDescent="0.25">
      <c r="A518" t="s">
        <v>15</v>
      </c>
      <c r="B518" s="1">
        <v>45992</v>
      </c>
      <c r="C518" s="1">
        <v>46022</v>
      </c>
      <c r="E518" t="s">
        <v>24</v>
      </c>
      <c r="G518">
        <v>0</v>
      </c>
      <c r="J518">
        <v>0</v>
      </c>
      <c r="K518">
        <v>0</v>
      </c>
      <c r="L518" t="s">
        <v>769</v>
      </c>
      <c r="M518" s="9" t="s">
        <v>19</v>
      </c>
      <c r="N518" s="3" t="str" cm="1">
        <f t="array" ref="N518">_xlfn.IFS(
OR(ISNUMBER(SEARCH("email",D518)),ISNUMBER(SEARCH("email",F518)),ISNUMBER(SEARCH("polish",D518)),ISNUMBER(SEARCH("rewrite",F518)),ISNUMBER(SEARCH("copy",F518))),"Writing and comms",
OR(ISNUMBER(SEARCH("research",F518)),ISNUMBER(SEARCH("intel",F518)),ISNUMBER(SEARCH("company",D518)),ISNUMBER(SEARCH("digger",D518))),"Research and intel",
OR(ISNUMBER(SEARCH("prompt",D518)),ISNUMBER(SEARCH("prompt",F518))),"Prompting help",
OR(ISNUMBER(SEARCH("role",D518)),ISNUMBER(SEARCH("scorecard",F518)),ISNUMBER(SEARCH("competenc",F518))),"Role and leadership advisory",
OR(ISNUMBER(SEARCH("meeting",F518)),ISNUMBER(SEARCH("notes",F518)),ISNUMBER(SEARCH("summary",F518))),"Meeting notes and summarization",
TRUE,"Other or fragmented"
)</f>
        <v>Other or fragmented</v>
      </c>
      <c r="O518" s="3" t="s">
        <v>20</v>
      </c>
      <c r="P518" s="3"/>
    </row>
    <row r="519" spans="1:16" x14ac:dyDescent="0.25">
      <c r="A519" t="s">
        <v>15</v>
      </c>
      <c r="B519" s="1">
        <v>45992</v>
      </c>
      <c r="C519" s="1">
        <v>46022</v>
      </c>
      <c r="E519" t="s">
        <v>24</v>
      </c>
      <c r="G519">
        <v>0</v>
      </c>
      <c r="J519">
        <v>0</v>
      </c>
      <c r="K519">
        <v>0</v>
      </c>
      <c r="L519" t="s">
        <v>769</v>
      </c>
      <c r="M519" s="10" t="s">
        <v>19</v>
      </c>
      <c r="N519" s="3" t="str" cm="1">
        <f t="array" ref="N519">_xlfn.IFS(
OR(ISNUMBER(SEARCH("email",D519)),ISNUMBER(SEARCH("email",F519)),ISNUMBER(SEARCH("polish",D519)),ISNUMBER(SEARCH("rewrite",F519)),ISNUMBER(SEARCH("copy",F519))),"Writing and comms",
OR(ISNUMBER(SEARCH("research",F519)),ISNUMBER(SEARCH("intel",F519)),ISNUMBER(SEARCH("company",D519)),ISNUMBER(SEARCH("digger",D519))),"Research and intel",
OR(ISNUMBER(SEARCH("prompt",D519)),ISNUMBER(SEARCH("prompt",F519))),"Prompting help",
OR(ISNUMBER(SEARCH("role",D519)),ISNUMBER(SEARCH("scorecard",F519)),ISNUMBER(SEARCH("competenc",F519))),"Role and leadership advisory",
OR(ISNUMBER(SEARCH("meeting",F519)),ISNUMBER(SEARCH("notes",F519)),ISNUMBER(SEARCH("summary",F519))),"Meeting notes and summarization",
TRUE,"Other or fragmented"
)</f>
        <v>Other or fragmented</v>
      </c>
      <c r="O519" s="3" t="s">
        <v>20</v>
      </c>
      <c r="P519" s="3"/>
    </row>
    <row r="520" spans="1:16" x14ac:dyDescent="0.25">
      <c r="A520" t="s">
        <v>15</v>
      </c>
      <c r="B520" s="1">
        <v>45992</v>
      </c>
      <c r="C520" s="1">
        <v>46022</v>
      </c>
      <c r="E520" t="s">
        <v>24</v>
      </c>
      <c r="G520">
        <v>0</v>
      </c>
      <c r="J520">
        <v>0</v>
      </c>
      <c r="K520">
        <v>0</v>
      </c>
      <c r="L520" t="s">
        <v>770</v>
      </c>
      <c r="M520" s="9" t="s">
        <v>19</v>
      </c>
      <c r="N520" s="3" t="str" cm="1">
        <f t="array" ref="N520">_xlfn.IFS(
OR(ISNUMBER(SEARCH("email",D520)),ISNUMBER(SEARCH("email",F520)),ISNUMBER(SEARCH("polish",D520)),ISNUMBER(SEARCH("rewrite",F520)),ISNUMBER(SEARCH("copy",F520))),"Writing and comms",
OR(ISNUMBER(SEARCH("research",F520)),ISNUMBER(SEARCH("intel",F520)),ISNUMBER(SEARCH("company",D520)),ISNUMBER(SEARCH("digger",D520))),"Research and intel",
OR(ISNUMBER(SEARCH("prompt",D520)),ISNUMBER(SEARCH("prompt",F520))),"Prompting help",
OR(ISNUMBER(SEARCH("role",D520)),ISNUMBER(SEARCH("scorecard",F520)),ISNUMBER(SEARCH("competenc",F520))),"Role and leadership advisory",
OR(ISNUMBER(SEARCH("meeting",F520)),ISNUMBER(SEARCH("notes",F520)),ISNUMBER(SEARCH("summary",F520))),"Meeting notes and summarization",
TRUE,"Other or fragmented"
)</f>
        <v>Other or fragmented</v>
      </c>
      <c r="O520" s="3" t="s">
        <v>20</v>
      </c>
      <c r="P520" s="3"/>
    </row>
    <row r="521" spans="1:16" x14ac:dyDescent="0.25">
      <c r="A521" t="s">
        <v>15</v>
      </c>
      <c r="B521" s="1">
        <v>45992</v>
      </c>
      <c r="C521" s="1">
        <v>46022</v>
      </c>
      <c r="D521" t="s">
        <v>771</v>
      </c>
      <c r="E521" t="s">
        <v>24</v>
      </c>
      <c r="F521" t="s">
        <v>772</v>
      </c>
      <c r="G521">
        <v>0</v>
      </c>
      <c r="J521">
        <v>0</v>
      </c>
      <c r="K521">
        <v>0</v>
      </c>
      <c r="L521" t="s">
        <v>773</v>
      </c>
      <c r="M521" s="10" t="s">
        <v>19</v>
      </c>
      <c r="N521" s="3" t="str" cm="1">
        <f t="array" ref="N521">_xlfn.IFS(
OR(ISNUMBER(SEARCH("email",D521)),ISNUMBER(SEARCH("email",F521)),ISNUMBER(SEARCH("polish",D521)),ISNUMBER(SEARCH("rewrite",F521)),ISNUMBER(SEARCH("copy",F521))),"Writing and comms",
OR(ISNUMBER(SEARCH("research",F521)),ISNUMBER(SEARCH("intel",F521)),ISNUMBER(SEARCH("company",D521)),ISNUMBER(SEARCH("digger",D521))),"Research and intel",
OR(ISNUMBER(SEARCH("prompt",D521)),ISNUMBER(SEARCH("prompt",F521))),"Prompting help",
OR(ISNUMBER(SEARCH("role",D521)),ISNUMBER(SEARCH("scorecard",F521)),ISNUMBER(SEARCH("competenc",F521))),"Role and leadership advisory",
OR(ISNUMBER(SEARCH("meeting",F521)),ISNUMBER(SEARCH("notes",F521)),ISNUMBER(SEARCH("summary",F521))),"Meeting notes and summarization",
TRUE,"Other or fragmented"
)</f>
        <v>Other or fragmented</v>
      </c>
      <c r="O521" s="3" t="s">
        <v>20</v>
      </c>
      <c r="P521" s="3"/>
    </row>
    <row r="522" spans="1:16" x14ac:dyDescent="0.25">
      <c r="A522" t="s">
        <v>15</v>
      </c>
      <c r="B522" s="1">
        <v>45992</v>
      </c>
      <c r="C522" s="1">
        <v>46022</v>
      </c>
      <c r="E522" t="s">
        <v>24</v>
      </c>
      <c r="G522">
        <v>0</v>
      </c>
      <c r="J522">
        <v>0</v>
      </c>
      <c r="K522">
        <v>0</v>
      </c>
      <c r="L522" t="s">
        <v>773</v>
      </c>
      <c r="M522" s="9" t="s">
        <v>19</v>
      </c>
      <c r="N522" s="3" t="str" cm="1">
        <f t="array" ref="N522">_xlfn.IFS(
OR(ISNUMBER(SEARCH("email",D522)),ISNUMBER(SEARCH("email",F522)),ISNUMBER(SEARCH("polish",D522)),ISNUMBER(SEARCH("rewrite",F522)),ISNUMBER(SEARCH("copy",F522))),"Writing and comms",
OR(ISNUMBER(SEARCH("research",F522)),ISNUMBER(SEARCH("intel",F522)),ISNUMBER(SEARCH("company",D522)),ISNUMBER(SEARCH("digger",D522))),"Research and intel",
OR(ISNUMBER(SEARCH("prompt",D522)),ISNUMBER(SEARCH("prompt",F522))),"Prompting help",
OR(ISNUMBER(SEARCH("role",D522)),ISNUMBER(SEARCH("scorecard",F522)),ISNUMBER(SEARCH("competenc",F522))),"Role and leadership advisory",
OR(ISNUMBER(SEARCH("meeting",F522)),ISNUMBER(SEARCH("notes",F522)),ISNUMBER(SEARCH("summary",F522))),"Meeting notes and summarization",
TRUE,"Other or fragmented"
)</f>
        <v>Other or fragmented</v>
      </c>
      <c r="O522" s="3" t="s">
        <v>20</v>
      </c>
      <c r="P522" s="3"/>
    </row>
    <row r="523" spans="1:16" x14ac:dyDescent="0.25">
      <c r="A523" t="s">
        <v>15</v>
      </c>
      <c r="B523" s="1">
        <v>45992</v>
      </c>
      <c r="C523" s="1">
        <v>46022</v>
      </c>
      <c r="D523" t="s">
        <v>774</v>
      </c>
      <c r="E523" t="s">
        <v>17</v>
      </c>
      <c r="G523">
        <v>1</v>
      </c>
      <c r="H523" s="1">
        <v>45994</v>
      </c>
      <c r="I523" s="1">
        <v>46010</v>
      </c>
      <c r="J523">
        <v>70</v>
      </c>
      <c r="K523">
        <v>3</v>
      </c>
      <c r="L523" t="s">
        <v>775</v>
      </c>
      <c r="M523" s="10" t="s">
        <v>19</v>
      </c>
      <c r="N523" s="3" t="str" cm="1">
        <f t="array" ref="N523">_xlfn.IFS(
OR(ISNUMBER(SEARCH("email",D523)),ISNUMBER(SEARCH("email",F523)),ISNUMBER(SEARCH("polish",D523)),ISNUMBER(SEARCH("rewrite",F523)),ISNUMBER(SEARCH("copy",F523))),"Writing and comms",
OR(ISNUMBER(SEARCH("research",F523)),ISNUMBER(SEARCH("intel",F523)),ISNUMBER(SEARCH("company",D523)),ISNUMBER(SEARCH("digger",D523))),"Research and intel",
OR(ISNUMBER(SEARCH("prompt",D523)),ISNUMBER(SEARCH("prompt",F523))),"Prompting help",
OR(ISNUMBER(SEARCH("role",D523)),ISNUMBER(SEARCH("scorecard",F523)),ISNUMBER(SEARCH("competenc",F523))),"Role and leadership advisory",
OR(ISNUMBER(SEARCH("meeting",F523)),ISNUMBER(SEARCH("notes",F523)),ISNUMBER(SEARCH("summary",F523))),"Meeting notes and summarization",
TRUE,"Other or fragmented"
)</f>
        <v>Other or fragmented</v>
      </c>
      <c r="O523" s="3" t="s">
        <v>20</v>
      </c>
      <c r="P523" s="3"/>
    </row>
    <row r="524" spans="1:16" x14ac:dyDescent="0.25">
      <c r="A524" t="s">
        <v>15</v>
      </c>
      <c r="B524" s="1">
        <v>45992</v>
      </c>
      <c r="C524" s="1">
        <v>46022</v>
      </c>
      <c r="D524" t="s">
        <v>776</v>
      </c>
      <c r="E524" t="s">
        <v>17</v>
      </c>
      <c r="G524">
        <v>1</v>
      </c>
      <c r="H524" s="1">
        <v>45992</v>
      </c>
      <c r="I524" s="1">
        <v>45992</v>
      </c>
      <c r="J524">
        <v>3</v>
      </c>
      <c r="K524">
        <v>1</v>
      </c>
      <c r="L524" t="s">
        <v>775</v>
      </c>
      <c r="M524" s="9" t="s">
        <v>19</v>
      </c>
      <c r="N524" s="3" t="str" cm="1">
        <f t="array" ref="N524">_xlfn.IFS(
OR(ISNUMBER(SEARCH("email",D524)),ISNUMBER(SEARCH("email",F524)),ISNUMBER(SEARCH("polish",D524)),ISNUMBER(SEARCH("rewrite",F524)),ISNUMBER(SEARCH("copy",F524))),"Writing and comms",
OR(ISNUMBER(SEARCH("research",F524)),ISNUMBER(SEARCH("intel",F524)),ISNUMBER(SEARCH("company",D524)),ISNUMBER(SEARCH("digger",D524))),"Research and intel",
OR(ISNUMBER(SEARCH("prompt",D524)),ISNUMBER(SEARCH("prompt",F524))),"Prompting help",
OR(ISNUMBER(SEARCH("role",D524)),ISNUMBER(SEARCH("scorecard",F524)),ISNUMBER(SEARCH("competenc",F524))),"Role and leadership advisory",
OR(ISNUMBER(SEARCH("meeting",F524)),ISNUMBER(SEARCH("notes",F524)),ISNUMBER(SEARCH("summary",F524))),"Meeting notes and summarization",
TRUE,"Other or fragmented"
)</f>
        <v>Other or fragmented</v>
      </c>
      <c r="O524" s="3" t="s">
        <v>20</v>
      </c>
      <c r="P524" s="3"/>
    </row>
    <row r="525" spans="1:16" x14ac:dyDescent="0.25">
      <c r="A525" t="s">
        <v>15</v>
      </c>
      <c r="B525" s="1">
        <v>45992</v>
      </c>
      <c r="C525" s="1">
        <v>46022</v>
      </c>
      <c r="D525" t="s">
        <v>777</v>
      </c>
      <c r="E525" t="s">
        <v>17</v>
      </c>
      <c r="G525">
        <v>1</v>
      </c>
      <c r="H525" s="1">
        <v>45992</v>
      </c>
      <c r="I525" s="1">
        <v>45992</v>
      </c>
      <c r="J525">
        <v>4</v>
      </c>
      <c r="K525">
        <v>1</v>
      </c>
      <c r="L525" t="s">
        <v>775</v>
      </c>
      <c r="M525" s="10" t="s">
        <v>19</v>
      </c>
      <c r="N525" s="3" t="str" cm="1">
        <f t="array" ref="N525">_xlfn.IFS(
OR(ISNUMBER(SEARCH("email",D525)),ISNUMBER(SEARCH("email",F525)),ISNUMBER(SEARCH("polish",D525)),ISNUMBER(SEARCH("rewrite",F525)),ISNUMBER(SEARCH("copy",F525))),"Writing and comms",
OR(ISNUMBER(SEARCH("research",F525)),ISNUMBER(SEARCH("intel",F525)),ISNUMBER(SEARCH("company",D525)),ISNUMBER(SEARCH("digger",D525))),"Research and intel",
OR(ISNUMBER(SEARCH("prompt",D525)),ISNUMBER(SEARCH("prompt",F525))),"Prompting help",
OR(ISNUMBER(SEARCH("role",D525)),ISNUMBER(SEARCH("scorecard",F525)),ISNUMBER(SEARCH("competenc",F525))),"Role and leadership advisory",
OR(ISNUMBER(SEARCH("meeting",F525)),ISNUMBER(SEARCH("notes",F525)),ISNUMBER(SEARCH("summary",F525))),"Meeting notes and summarization",
TRUE,"Other or fragmented"
)</f>
        <v>Other or fragmented</v>
      </c>
      <c r="O525" s="3" t="s">
        <v>20</v>
      </c>
      <c r="P525" s="3"/>
    </row>
    <row r="526" spans="1:16" x14ac:dyDescent="0.25">
      <c r="A526" t="s">
        <v>15</v>
      </c>
      <c r="B526" s="1">
        <v>45992</v>
      </c>
      <c r="C526" s="1">
        <v>46022</v>
      </c>
      <c r="D526" t="s">
        <v>778</v>
      </c>
      <c r="E526" t="s">
        <v>17</v>
      </c>
      <c r="F526" t="s">
        <v>144</v>
      </c>
      <c r="G526">
        <v>0</v>
      </c>
      <c r="J526">
        <v>0</v>
      </c>
      <c r="K526">
        <v>0</v>
      </c>
      <c r="L526" t="s">
        <v>775</v>
      </c>
      <c r="M526" s="9" t="s">
        <v>19</v>
      </c>
      <c r="N526" s="3" t="str" cm="1">
        <f t="array" ref="N526">_xlfn.IFS(
OR(ISNUMBER(SEARCH("email",D526)),ISNUMBER(SEARCH("email",F526)),ISNUMBER(SEARCH("polish",D526)),ISNUMBER(SEARCH("rewrite",F526)),ISNUMBER(SEARCH("copy",F526))),"Writing and comms",
OR(ISNUMBER(SEARCH("research",F526)),ISNUMBER(SEARCH("intel",F526)),ISNUMBER(SEARCH("company",D526)),ISNUMBER(SEARCH("digger",D526))),"Research and intel",
OR(ISNUMBER(SEARCH("prompt",D526)),ISNUMBER(SEARCH("prompt",F526))),"Prompting help",
OR(ISNUMBER(SEARCH("role",D526)),ISNUMBER(SEARCH("scorecard",F526)),ISNUMBER(SEARCH("competenc",F526))),"Role and leadership advisory",
OR(ISNUMBER(SEARCH("meeting",F526)),ISNUMBER(SEARCH("notes",F526)),ISNUMBER(SEARCH("summary",F526))),"Meeting notes and summarization",
TRUE,"Other or fragmented"
)</f>
        <v>Other or fragmented</v>
      </c>
      <c r="O526" s="3" t="s">
        <v>20</v>
      </c>
      <c r="P526" s="3"/>
    </row>
    <row r="527" spans="1:16" x14ac:dyDescent="0.25">
      <c r="A527" t="s">
        <v>15</v>
      </c>
      <c r="B527" s="1">
        <v>45992</v>
      </c>
      <c r="C527" s="1">
        <v>46022</v>
      </c>
      <c r="D527" t="s">
        <v>779</v>
      </c>
      <c r="E527" t="s">
        <v>24</v>
      </c>
      <c r="G527">
        <v>0</v>
      </c>
      <c r="J527">
        <v>0</v>
      </c>
      <c r="K527">
        <v>0</v>
      </c>
      <c r="L527" t="s">
        <v>775</v>
      </c>
      <c r="M527" s="10" t="s">
        <v>19</v>
      </c>
      <c r="N527" s="3" t="str" cm="1">
        <f t="array" ref="N527">_xlfn.IFS(
OR(ISNUMBER(SEARCH("email",D527)),ISNUMBER(SEARCH("email",F527)),ISNUMBER(SEARCH("polish",D527)),ISNUMBER(SEARCH("rewrite",F527)),ISNUMBER(SEARCH("copy",F527))),"Writing and comms",
OR(ISNUMBER(SEARCH("research",F527)),ISNUMBER(SEARCH("intel",F527)),ISNUMBER(SEARCH("company",D527)),ISNUMBER(SEARCH("digger",D527))),"Research and intel",
OR(ISNUMBER(SEARCH("prompt",D527)),ISNUMBER(SEARCH("prompt",F527))),"Prompting help",
OR(ISNUMBER(SEARCH("role",D527)),ISNUMBER(SEARCH("scorecard",F527)),ISNUMBER(SEARCH("competenc",F527))),"Role and leadership advisory",
OR(ISNUMBER(SEARCH("meeting",F527)),ISNUMBER(SEARCH("notes",F527)),ISNUMBER(SEARCH("summary",F527))),"Meeting notes and summarization",
TRUE,"Other or fragmented"
)</f>
        <v>Other or fragmented</v>
      </c>
      <c r="O527" s="3" t="s">
        <v>20</v>
      </c>
      <c r="P527" s="3"/>
    </row>
    <row r="528" spans="1:16" x14ac:dyDescent="0.25">
      <c r="A528" t="s">
        <v>15</v>
      </c>
      <c r="B528" s="1">
        <v>45992</v>
      </c>
      <c r="C528" s="1">
        <v>46022</v>
      </c>
      <c r="D528" t="s">
        <v>780</v>
      </c>
      <c r="E528" t="s">
        <v>17</v>
      </c>
      <c r="G528">
        <v>0</v>
      </c>
      <c r="J528">
        <v>0</v>
      </c>
      <c r="K528">
        <v>0</v>
      </c>
      <c r="L528" t="s">
        <v>775</v>
      </c>
      <c r="M528" s="9" t="s">
        <v>19</v>
      </c>
      <c r="N528" s="3" t="str" cm="1">
        <f t="array" ref="N528">_xlfn.IFS(
OR(ISNUMBER(SEARCH("email",D528)),ISNUMBER(SEARCH("email",F528)),ISNUMBER(SEARCH("polish",D528)),ISNUMBER(SEARCH("rewrite",F528)),ISNUMBER(SEARCH("copy",F528))),"Writing and comms",
OR(ISNUMBER(SEARCH("research",F528)),ISNUMBER(SEARCH("intel",F528)),ISNUMBER(SEARCH("company",D528)),ISNUMBER(SEARCH("digger",D528))),"Research and intel",
OR(ISNUMBER(SEARCH("prompt",D528)),ISNUMBER(SEARCH("prompt",F528))),"Prompting help",
OR(ISNUMBER(SEARCH("role",D528)),ISNUMBER(SEARCH("scorecard",F528)),ISNUMBER(SEARCH("competenc",F528))),"Role and leadership advisory",
OR(ISNUMBER(SEARCH("meeting",F528)),ISNUMBER(SEARCH("notes",F528)),ISNUMBER(SEARCH("summary",F528))),"Meeting notes and summarization",
TRUE,"Other or fragmented"
)</f>
        <v>Other or fragmented</v>
      </c>
      <c r="O528" s="3" t="s">
        <v>20</v>
      </c>
      <c r="P528" s="3"/>
    </row>
    <row r="529" spans="1:16" x14ac:dyDescent="0.25">
      <c r="A529" t="s">
        <v>15</v>
      </c>
      <c r="B529" s="1">
        <v>45992</v>
      </c>
      <c r="C529" s="1">
        <v>46022</v>
      </c>
      <c r="D529" t="s">
        <v>781</v>
      </c>
      <c r="E529" t="s">
        <v>17</v>
      </c>
      <c r="G529">
        <v>0</v>
      </c>
      <c r="J529">
        <v>0</v>
      </c>
      <c r="K529">
        <v>0</v>
      </c>
      <c r="L529" t="s">
        <v>775</v>
      </c>
      <c r="M529" s="10" t="s">
        <v>19</v>
      </c>
      <c r="N529" s="3" t="str" cm="1">
        <f t="array" ref="N529">_xlfn.IFS(
OR(ISNUMBER(SEARCH("email",D529)),ISNUMBER(SEARCH("email",F529)),ISNUMBER(SEARCH("polish",D529)),ISNUMBER(SEARCH("rewrite",F529)),ISNUMBER(SEARCH("copy",F529))),"Writing and comms",
OR(ISNUMBER(SEARCH("research",F529)),ISNUMBER(SEARCH("intel",F529)),ISNUMBER(SEARCH("company",D529)),ISNUMBER(SEARCH("digger",D529))),"Research and intel",
OR(ISNUMBER(SEARCH("prompt",D529)),ISNUMBER(SEARCH("prompt",F529))),"Prompting help",
OR(ISNUMBER(SEARCH("role",D529)),ISNUMBER(SEARCH("scorecard",F529)),ISNUMBER(SEARCH("competenc",F529))),"Role and leadership advisory",
OR(ISNUMBER(SEARCH("meeting",F529)),ISNUMBER(SEARCH("notes",F529)),ISNUMBER(SEARCH("summary",F529))),"Meeting notes and summarization",
TRUE,"Other or fragmented"
)</f>
        <v>Other or fragmented</v>
      </c>
      <c r="O529" s="3" t="s">
        <v>20</v>
      </c>
      <c r="P529" s="3"/>
    </row>
    <row r="530" spans="1:16" x14ac:dyDescent="0.25">
      <c r="A530" t="s">
        <v>15</v>
      </c>
      <c r="B530" s="1">
        <v>45992</v>
      </c>
      <c r="C530" s="1">
        <v>46022</v>
      </c>
      <c r="D530" t="s">
        <v>782</v>
      </c>
      <c r="E530" t="s">
        <v>17</v>
      </c>
      <c r="G530">
        <v>0</v>
      </c>
      <c r="J530">
        <v>0</v>
      </c>
      <c r="K530">
        <v>0</v>
      </c>
      <c r="L530" t="s">
        <v>775</v>
      </c>
      <c r="M530" s="9" t="s">
        <v>19</v>
      </c>
      <c r="N530" s="3" t="str" cm="1">
        <f t="array" ref="N530">_xlfn.IFS(
OR(ISNUMBER(SEARCH("email",D530)),ISNUMBER(SEARCH("email",F530)),ISNUMBER(SEARCH("polish",D530)),ISNUMBER(SEARCH("rewrite",F530)),ISNUMBER(SEARCH("copy",F530))),"Writing and comms",
OR(ISNUMBER(SEARCH("research",F530)),ISNUMBER(SEARCH("intel",F530)),ISNUMBER(SEARCH("company",D530)),ISNUMBER(SEARCH("digger",D530))),"Research and intel",
OR(ISNUMBER(SEARCH("prompt",D530)),ISNUMBER(SEARCH("prompt",F530))),"Prompting help",
OR(ISNUMBER(SEARCH("role",D530)),ISNUMBER(SEARCH("scorecard",F530)),ISNUMBER(SEARCH("competenc",F530))),"Role and leadership advisory",
OR(ISNUMBER(SEARCH("meeting",F530)),ISNUMBER(SEARCH("notes",F530)),ISNUMBER(SEARCH("summary",F530))),"Meeting notes and summarization",
TRUE,"Other or fragmented"
)</f>
        <v>Research and intel</v>
      </c>
      <c r="O530" s="3" t="s">
        <v>20</v>
      </c>
      <c r="P530" s="3"/>
    </row>
    <row r="531" spans="1:16" x14ac:dyDescent="0.25">
      <c r="A531" t="s">
        <v>15</v>
      </c>
      <c r="B531" s="1">
        <v>45992</v>
      </c>
      <c r="C531" s="1">
        <v>46022</v>
      </c>
      <c r="D531" t="s">
        <v>783</v>
      </c>
      <c r="E531" t="s">
        <v>17</v>
      </c>
      <c r="G531">
        <v>0</v>
      </c>
      <c r="J531">
        <v>0</v>
      </c>
      <c r="K531">
        <v>0</v>
      </c>
      <c r="L531" t="s">
        <v>775</v>
      </c>
      <c r="M531" s="10" t="s">
        <v>19</v>
      </c>
      <c r="N531" s="3" t="str" cm="1">
        <f t="array" ref="N531">_xlfn.IFS(
OR(ISNUMBER(SEARCH("email",D531)),ISNUMBER(SEARCH("email",F531)),ISNUMBER(SEARCH("polish",D531)),ISNUMBER(SEARCH("rewrite",F531)),ISNUMBER(SEARCH("copy",F531))),"Writing and comms",
OR(ISNUMBER(SEARCH("research",F531)),ISNUMBER(SEARCH("intel",F531)),ISNUMBER(SEARCH("company",D531)),ISNUMBER(SEARCH("digger",D531))),"Research and intel",
OR(ISNUMBER(SEARCH("prompt",D531)),ISNUMBER(SEARCH("prompt",F531))),"Prompting help",
OR(ISNUMBER(SEARCH("role",D531)),ISNUMBER(SEARCH("scorecard",F531)),ISNUMBER(SEARCH("competenc",F531))),"Role and leadership advisory",
OR(ISNUMBER(SEARCH("meeting",F531)),ISNUMBER(SEARCH("notes",F531)),ISNUMBER(SEARCH("summary",F531))),"Meeting notes and summarization",
TRUE,"Other or fragmented"
)</f>
        <v>Other or fragmented</v>
      </c>
      <c r="O531" s="3" t="s">
        <v>20</v>
      </c>
      <c r="P531" s="3"/>
    </row>
    <row r="532" spans="1:16" x14ac:dyDescent="0.25">
      <c r="A532" t="s">
        <v>15</v>
      </c>
      <c r="B532" s="1">
        <v>45992</v>
      </c>
      <c r="C532" s="1">
        <v>46022</v>
      </c>
      <c r="D532" t="s">
        <v>784</v>
      </c>
      <c r="E532" t="s">
        <v>17</v>
      </c>
      <c r="F532" t="s">
        <v>785</v>
      </c>
      <c r="G532">
        <v>0</v>
      </c>
      <c r="J532">
        <v>0</v>
      </c>
      <c r="K532">
        <v>0</v>
      </c>
      <c r="L532" t="s">
        <v>775</v>
      </c>
      <c r="M532" s="9" t="s">
        <v>19</v>
      </c>
      <c r="N532" s="3" t="str" cm="1">
        <f t="array" ref="N532">_xlfn.IFS(
OR(ISNUMBER(SEARCH("email",D532)),ISNUMBER(SEARCH("email",F532)),ISNUMBER(SEARCH("polish",D532)),ISNUMBER(SEARCH("rewrite",F532)),ISNUMBER(SEARCH("copy",F532))),"Writing and comms",
OR(ISNUMBER(SEARCH("research",F532)),ISNUMBER(SEARCH("intel",F532)),ISNUMBER(SEARCH("company",D532)),ISNUMBER(SEARCH("digger",D532))),"Research and intel",
OR(ISNUMBER(SEARCH("prompt",D532)),ISNUMBER(SEARCH("prompt",F532))),"Prompting help",
OR(ISNUMBER(SEARCH("role",D532)),ISNUMBER(SEARCH("scorecard",F532)),ISNUMBER(SEARCH("competenc",F532))),"Role and leadership advisory",
OR(ISNUMBER(SEARCH("meeting",F532)),ISNUMBER(SEARCH("notes",F532)),ISNUMBER(SEARCH("summary",F532))),"Meeting notes and summarization",
TRUE,"Other or fragmented"
)</f>
        <v>Other or fragmented</v>
      </c>
      <c r="O532" s="3" t="s">
        <v>20</v>
      </c>
      <c r="P532" s="3"/>
    </row>
    <row r="533" spans="1:16" x14ac:dyDescent="0.25">
      <c r="A533" t="s">
        <v>15</v>
      </c>
      <c r="B533" s="1">
        <v>45992</v>
      </c>
      <c r="C533" s="1">
        <v>46022</v>
      </c>
      <c r="D533" t="s">
        <v>786</v>
      </c>
      <c r="E533" t="s">
        <v>17</v>
      </c>
      <c r="G533">
        <v>0</v>
      </c>
      <c r="J533">
        <v>0</v>
      </c>
      <c r="K533">
        <v>0</v>
      </c>
      <c r="L533" t="s">
        <v>775</v>
      </c>
      <c r="M533" s="10" t="s">
        <v>19</v>
      </c>
      <c r="N533" s="3" t="str" cm="1">
        <f t="array" ref="N533">_xlfn.IFS(
OR(ISNUMBER(SEARCH("email",D533)),ISNUMBER(SEARCH("email",F533)),ISNUMBER(SEARCH("polish",D533)),ISNUMBER(SEARCH("rewrite",F533)),ISNUMBER(SEARCH("copy",F533))),"Writing and comms",
OR(ISNUMBER(SEARCH("research",F533)),ISNUMBER(SEARCH("intel",F533)),ISNUMBER(SEARCH("company",D533)),ISNUMBER(SEARCH("digger",D533))),"Research and intel",
OR(ISNUMBER(SEARCH("prompt",D533)),ISNUMBER(SEARCH("prompt",F533))),"Prompting help",
OR(ISNUMBER(SEARCH("role",D533)),ISNUMBER(SEARCH("scorecard",F533)),ISNUMBER(SEARCH("competenc",F533))),"Role and leadership advisory",
OR(ISNUMBER(SEARCH("meeting",F533)),ISNUMBER(SEARCH("notes",F533)),ISNUMBER(SEARCH("summary",F533))),"Meeting notes and summarization",
TRUE,"Other or fragmented"
)</f>
        <v>Other or fragmented</v>
      </c>
      <c r="O533" s="3" t="s">
        <v>20</v>
      </c>
      <c r="P533" s="3"/>
    </row>
    <row r="534" spans="1:16" x14ac:dyDescent="0.25">
      <c r="A534" t="s">
        <v>15</v>
      </c>
      <c r="B534" s="1">
        <v>45992</v>
      </c>
      <c r="C534" s="1">
        <v>46022</v>
      </c>
      <c r="D534" t="s">
        <v>787</v>
      </c>
      <c r="E534" t="s">
        <v>17</v>
      </c>
      <c r="F534" t="s">
        <v>788</v>
      </c>
      <c r="G534">
        <v>0</v>
      </c>
      <c r="J534">
        <v>0</v>
      </c>
      <c r="K534">
        <v>0</v>
      </c>
      <c r="L534" t="s">
        <v>775</v>
      </c>
      <c r="M534" s="9" t="s">
        <v>19</v>
      </c>
      <c r="N534" s="3" t="str" cm="1">
        <f t="array" ref="N534">_xlfn.IFS(
OR(ISNUMBER(SEARCH("email",D534)),ISNUMBER(SEARCH("email",F534)),ISNUMBER(SEARCH("polish",D534)),ISNUMBER(SEARCH("rewrite",F534)),ISNUMBER(SEARCH("copy",F534))),"Writing and comms",
OR(ISNUMBER(SEARCH("research",F534)),ISNUMBER(SEARCH("intel",F534)),ISNUMBER(SEARCH("company",D534)),ISNUMBER(SEARCH("digger",D534))),"Research and intel",
OR(ISNUMBER(SEARCH("prompt",D534)),ISNUMBER(SEARCH("prompt",F534))),"Prompting help",
OR(ISNUMBER(SEARCH("role",D534)),ISNUMBER(SEARCH("scorecard",F534)),ISNUMBER(SEARCH("competenc",F534))),"Role and leadership advisory",
OR(ISNUMBER(SEARCH("meeting",F534)),ISNUMBER(SEARCH("notes",F534)),ISNUMBER(SEARCH("summary",F534))),"Meeting notes and summarization",
TRUE,"Other or fragmented"
)</f>
        <v>Writing and comms</v>
      </c>
      <c r="O534" s="3" t="s">
        <v>20</v>
      </c>
      <c r="P534" s="3"/>
    </row>
    <row r="535" spans="1:16" x14ac:dyDescent="0.25">
      <c r="A535" t="s">
        <v>15</v>
      </c>
      <c r="B535" s="1">
        <v>45992</v>
      </c>
      <c r="C535" s="1">
        <v>46022</v>
      </c>
      <c r="E535" t="s">
        <v>24</v>
      </c>
      <c r="G535">
        <v>0</v>
      </c>
      <c r="J535">
        <v>0</v>
      </c>
      <c r="K535">
        <v>0</v>
      </c>
      <c r="L535" t="s">
        <v>789</v>
      </c>
      <c r="M535" s="10" t="s">
        <v>19</v>
      </c>
      <c r="N535" s="3" t="str" cm="1">
        <f t="array" ref="N535">_xlfn.IFS(
OR(ISNUMBER(SEARCH("email",D535)),ISNUMBER(SEARCH("email",F535)),ISNUMBER(SEARCH("polish",D535)),ISNUMBER(SEARCH("rewrite",F535)),ISNUMBER(SEARCH("copy",F535))),"Writing and comms",
OR(ISNUMBER(SEARCH("research",F535)),ISNUMBER(SEARCH("intel",F535)),ISNUMBER(SEARCH("company",D535)),ISNUMBER(SEARCH("digger",D535))),"Research and intel",
OR(ISNUMBER(SEARCH("prompt",D535)),ISNUMBER(SEARCH("prompt",F535))),"Prompting help",
OR(ISNUMBER(SEARCH("role",D535)),ISNUMBER(SEARCH("scorecard",F535)),ISNUMBER(SEARCH("competenc",F535))),"Role and leadership advisory",
OR(ISNUMBER(SEARCH("meeting",F535)),ISNUMBER(SEARCH("notes",F535)),ISNUMBER(SEARCH("summary",F535))),"Meeting notes and summarization",
TRUE,"Other or fragmented"
)</f>
        <v>Other or fragmented</v>
      </c>
      <c r="O535" s="3" t="s">
        <v>20</v>
      </c>
      <c r="P535" s="3"/>
    </row>
    <row r="536" spans="1:16" x14ac:dyDescent="0.25">
      <c r="A536" t="s">
        <v>15</v>
      </c>
      <c r="B536" s="1">
        <v>45992</v>
      </c>
      <c r="C536" s="1">
        <v>46022</v>
      </c>
      <c r="D536" t="s">
        <v>790</v>
      </c>
      <c r="E536" t="s">
        <v>17</v>
      </c>
      <c r="F536" t="s">
        <v>791</v>
      </c>
      <c r="G536">
        <v>1</v>
      </c>
      <c r="H536" s="1">
        <v>45996</v>
      </c>
      <c r="I536" s="1">
        <v>46009</v>
      </c>
      <c r="J536">
        <v>44</v>
      </c>
      <c r="K536">
        <v>1</v>
      </c>
      <c r="L536" t="s">
        <v>792</v>
      </c>
      <c r="M536" s="9" t="s">
        <v>19</v>
      </c>
      <c r="N536" s="3" t="str" cm="1">
        <f t="array" ref="N536">_xlfn.IFS(
OR(ISNUMBER(SEARCH("email",D536)),ISNUMBER(SEARCH("email",F536)),ISNUMBER(SEARCH("polish",D536)),ISNUMBER(SEARCH("rewrite",F536)),ISNUMBER(SEARCH("copy",F536))),"Writing and comms",
OR(ISNUMBER(SEARCH("research",F536)),ISNUMBER(SEARCH("intel",F536)),ISNUMBER(SEARCH("company",D536)),ISNUMBER(SEARCH("digger",D536))),"Research and intel",
OR(ISNUMBER(SEARCH("prompt",D536)),ISNUMBER(SEARCH("prompt",F536))),"Prompting help",
OR(ISNUMBER(SEARCH("role",D536)),ISNUMBER(SEARCH("scorecard",F536)),ISNUMBER(SEARCH("competenc",F536))),"Role and leadership advisory",
OR(ISNUMBER(SEARCH("meeting",F536)),ISNUMBER(SEARCH("notes",F536)),ISNUMBER(SEARCH("summary",F536))),"Meeting notes and summarization",
TRUE,"Other or fragmented"
)</f>
        <v>Other or fragmented</v>
      </c>
      <c r="O536" s="3" t="s">
        <v>20</v>
      </c>
      <c r="P536" s="3"/>
    </row>
    <row r="537" spans="1:16" x14ac:dyDescent="0.25">
      <c r="A537" t="s">
        <v>15</v>
      </c>
      <c r="B537" s="1">
        <v>45992</v>
      </c>
      <c r="C537" s="1">
        <v>46022</v>
      </c>
      <c r="D537" t="s">
        <v>793</v>
      </c>
      <c r="E537" t="s">
        <v>17</v>
      </c>
      <c r="G537">
        <v>1</v>
      </c>
      <c r="H537" s="1">
        <v>45992</v>
      </c>
      <c r="I537" s="1">
        <v>45999</v>
      </c>
      <c r="J537">
        <v>65</v>
      </c>
      <c r="K537">
        <v>4</v>
      </c>
      <c r="L537" t="s">
        <v>794</v>
      </c>
      <c r="M537" s="10" t="s">
        <v>19</v>
      </c>
      <c r="N537" s="3" t="str" cm="1">
        <f t="array" ref="N537">_xlfn.IFS(
OR(ISNUMBER(SEARCH("email",D537)),ISNUMBER(SEARCH("email",F537)),ISNUMBER(SEARCH("polish",D537)),ISNUMBER(SEARCH("rewrite",F537)),ISNUMBER(SEARCH("copy",F537))),"Writing and comms",
OR(ISNUMBER(SEARCH("research",F537)),ISNUMBER(SEARCH("intel",F537)),ISNUMBER(SEARCH("company",D537)),ISNUMBER(SEARCH("digger",D537))),"Research and intel",
OR(ISNUMBER(SEARCH("prompt",D537)),ISNUMBER(SEARCH("prompt",F537))),"Prompting help",
OR(ISNUMBER(SEARCH("role",D537)),ISNUMBER(SEARCH("scorecard",F537)),ISNUMBER(SEARCH("competenc",F537))),"Role and leadership advisory",
OR(ISNUMBER(SEARCH("meeting",F537)),ISNUMBER(SEARCH("notes",F537)),ISNUMBER(SEARCH("summary",F537))),"Meeting notes and summarization",
TRUE,"Other or fragmented"
)</f>
        <v>Other or fragmented</v>
      </c>
      <c r="O537" s="3" t="s">
        <v>20</v>
      </c>
      <c r="P537" s="3"/>
    </row>
    <row r="538" spans="1:16" x14ac:dyDescent="0.25">
      <c r="A538" t="s">
        <v>15</v>
      </c>
      <c r="B538" s="1">
        <v>45992</v>
      </c>
      <c r="C538" s="1">
        <v>46022</v>
      </c>
      <c r="D538" t="s">
        <v>795</v>
      </c>
      <c r="E538" t="s">
        <v>17</v>
      </c>
      <c r="G538">
        <v>1</v>
      </c>
      <c r="H538" s="1">
        <v>45996</v>
      </c>
      <c r="I538" s="1">
        <v>45999</v>
      </c>
      <c r="J538">
        <v>35</v>
      </c>
      <c r="K538">
        <v>2</v>
      </c>
      <c r="L538" t="s">
        <v>794</v>
      </c>
      <c r="M538" s="9" t="s">
        <v>19</v>
      </c>
      <c r="N538" s="3" t="str" cm="1">
        <f t="array" ref="N538">_xlfn.IFS(
OR(ISNUMBER(SEARCH("email",D538)),ISNUMBER(SEARCH("email",F538)),ISNUMBER(SEARCH("polish",D538)),ISNUMBER(SEARCH("rewrite",F538)),ISNUMBER(SEARCH("copy",F538))),"Writing and comms",
OR(ISNUMBER(SEARCH("research",F538)),ISNUMBER(SEARCH("intel",F538)),ISNUMBER(SEARCH("company",D538)),ISNUMBER(SEARCH("digger",D538))),"Research and intel",
OR(ISNUMBER(SEARCH("prompt",D538)),ISNUMBER(SEARCH("prompt",F538))),"Prompting help",
OR(ISNUMBER(SEARCH("role",D538)),ISNUMBER(SEARCH("scorecard",F538)),ISNUMBER(SEARCH("competenc",F538))),"Role and leadership advisory",
OR(ISNUMBER(SEARCH("meeting",F538)),ISNUMBER(SEARCH("notes",F538)),ISNUMBER(SEARCH("summary",F538))),"Meeting notes and summarization",
TRUE,"Other or fragmented"
)</f>
        <v>Other or fragmented</v>
      </c>
      <c r="O538" s="3" t="s">
        <v>20</v>
      </c>
      <c r="P538" s="3"/>
    </row>
    <row r="539" spans="1:16" x14ac:dyDescent="0.25">
      <c r="A539" t="s">
        <v>15</v>
      </c>
      <c r="B539" s="1">
        <v>45992</v>
      </c>
      <c r="C539" s="1">
        <v>46022</v>
      </c>
      <c r="D539" t="s">
        <v>796</v>
      </c>
      <c r="E539" t="s">
        <v>17</v>
      </c>
      <c r="G539">
        <v>1</v>
      </c>
      <c r="H539" s="1">
        <v>45995</v>
      </c>
      <c r="I539" s="1">
        <v>46000</v>
      </c>
      <c r="J539">
        <v>4</v>
      </c>
      <c r="K539">
        <v>1</v>
      </c>
      <c r="L539" t="s">
        <v>794</v>
      </c>
      <c r="M539" s="10" t="s">
        <v>19</v>
      </c>
      <c r="N539" s="3" t="str" cm="1">
        <f t="array" ref="N539">_xlfn.IFS(
OR(ISNUMBER(SEARCH("email",D539)),ISNUMBER(SEARCH("email",F539)),ISNUMBER(SEARCH("polish",D539)),ISNUMBER(SEARCH("rewrite",F539)),ISNUMBER(SEARCH("copy",F539))),"Writing and comms",
OR(ISNUMBER(SEARCH("research",F539)),ISNUMBER(SEARCH("intel",F539)),ISNUMBER(SEARCH("company",D539)),ISNUMBER(SEARCH("digger",D539))),"Research and intel",
OR(ISNUMBER(SEARCH("prompt",D539)),ISNUMBER(SEARCH("prompt",F539))),"Prompting help",
OR(ISNUMBER(SEARCH("role",D539)),ISNUMBER(SEARCH("scorecard",F539)),ISNUMBER(SEARCH("competenc",F539))),"Role and leadership advisory",
OR(ISNUMBER(SEARCH("meeting",F539)),ISNUMBER(SEARCH("notes",F539)),ISNUMBER(SEARCH("summary",F539))),"Meeting notes and summarization",
TRUE,"Other or fragmented"
)</f>
        <v>Research and intel</v>
      </c>
      <c r="O539" s="3" t="s">
        <v>20</v>
      </c>
      <c r="P539" s="3"/>
    </row>
    <row r="540" spans="1:16" x14ac:dyDescent="0.25">
      <c r="A540" t="s">
        <v>15</v>
      </c>
      <c r="B540" s="1">
        <v>45992</v>
      </c>
      <c r="C540" s="1">
        <v>46022</v>
      </c>
      <c r="D540" t="s">
        <v>797</v>
      </c>
      <c r="E540" t="s">
        <v>17</v>
      </c>
      <c r="G540">
        <v>0</v>
      </c>
      <c r="J540">
        <v>0</v>
      </c>
      <c r="K540">
        <v>0</v>
      </c>
      <c r="L540" t="s">
        <v>794</v>
      </c>
      <c r="M540" s="9" t="s">
        <v>19</v>
      </c>
      <c r="N540" s="3" t="str" cm="1">
        <f t="array" ref="N540">_xlfn.IFS(
OR(ISNUMBER(SEARCH("email",D540)),ISNUMBER(SEARCH("email",F540)),ISNUMBER(SEARCH("polish",D540)),ISNUMBER(SEARCH("rewrite",F540)),ISNUMBER(SEARCH("copy",F540))),"Writing and comms",
OR(ISNUMBER(SEARCH("research",F540)),ISNUMBER(SEARCH("intel",F540)),ISNUMBER(SEARCH("company",D540)),ISNUMBER(SEARCH("digger",D540))),"Research and intel",
OR(ISNUMBER(SEARCH("prompt",D540)),ISNUMBER(SEARCH("prompt",F540))),"Prompting help",
OR(ISNUMBER(SEARCH("role",D540)),ISNUMBER(SEARCH("scorecard",F540)),ISNUMBER(SEARCH("competenc",F540))),"Role and leadership advisory",
OR(ISNUMBER(SEARCH("meeting",F540)),ISNUMBER(SEARCH("notes",F540)),ISNUMBER(SEARCH("summary",F540))),"Meeting notes and summarization",
TRUE,"Other or fragmented"
)</f>
        <v>Research and intel</v>
      </c>
      <c r="O540" s="3" t="s">
        <v>20</v>
      </c>
      <c r="P540" s="3"/>
    </row>
    <row r="541" spans="1:16" x14ac:dyDescent="0.25">
      <c r="A541" t="s">
        <v>15</v>
      </c>
      <c r="B541" s="1">
        <v>45992</v>
      </c>
      <c r="C541" s="1">
        <v>46022</v>
      </c>
      <c r="E541" t="s">
        <v>24</v>
      </c>
      <c r="G541">
        <v>0</v>
      </c>
      <c r="J541">
        <v>0</v>
      </c>
      <c r="K541">
        <v>0</v>
      </c>
      <c r="L541" t="s">
        <v>794</v>
      </c>
      <c r="M541" s="10" t="s">
        <v>19</v>
      </c>
      <c r="N541" s="3" t="str" cm="1">
        <f t="array" ref="N541">_xlfn.IFS(
OR(ISNUMBER(SEARCH("email",D541)),ISNUMBER(SEARCH("email",F541)),ISNUMBER(SEARCH("polish",D541)),ISNUMBER(SEARCH("rewrite",F541)),ISNUMBER(SEARCH("copy",F541))),"Writing and comms",
OR(ISNUMBER(SEARCH("research",F541)),ISNUMBER(SEARCH("intel",F541)),ISNUMBER(SEARCH("company",D541)),ISNUMBER(SEARCH("digger",D541))),"Research and intel",
OR(ISNUMBER(SEARCH("prompt",D541)),ISNUMBER(SEARCH("prompt",F541))),"Prompting help",
OR(ISNUMBER(SEARCH("role",D541)),ISNUMBER(SEARCH("scorecard",F541)),ISNUMBER(SEARCH("competenc",F541))),"Role and leadership advisory",
OR(ISNUMBER(SEARCH("meeting",F541)),ISNUMBER(SEARCH("notes",F541)),ISNUMBER(SEARCH("summary",F541))),"Meeting notes and summarization",
TRUE,"Other or fragmented"
)</f>
        <v>Other or fragmented</v>
      </c>
      <c r="O541" s="3" t="s">
        <v>20</v>
      </c>
      <c r="P541" s="3"/>
    </row>
    <row r="542" spans="1:16" x14ac:dyDescent="0.25">
      <c r="A542" t="s">
        <v>15</v>
      </c>
      <c r="B542" s="1">
        <v>45992</v>
      </c>
      <c r="C542" s="1">
        <v>46022</v>
      </c>
      <c r="E542" t="s">
        <v>24</v>
      </c>
      <c r="G542">
        <v>0</v>
      </c>
      <c r="J542">
        <v>0</v>
      </c>
      <c r="K542">
        <v>0</v>
      </c>
      <c r="L542" t="s">
        <v>798</v>
      </c>
      <c r="M542" s="9" t="s">
        <v>19</v>
      </c>
      <c r="N542" s="3" t="str" cm="1">
        <f t="array" ref="N542">_xlfn.IFS(
OR(ISNUMBER(SEARCH("email",D542)),ISNUMBER(SEARCH("email",F542)),ISNUMBER(SEARCH("polish",D542)),ISNUMBER(SEARCH("rewrite",F542)),ISNUMBER(SEARCH("copy",F542))),"Writing and comms",
OR(ISNUMBER(SEARCH("research",F542)),ISNUMBER(SEARCH("intel",F542)),ISNUMBER(SEARCH("company",D542)),ISNUMBER(SEARCH("digger",D542))),"Research and intel",
OR(ISNUMBER(SEARCH("prompt",D542)),ISNUMBER(SEARCH("prompt",F542))),"Prompting help",
OR(ISNUMBER(SEARCH("role",D542)),ISNUMBER(SEARCH("scorecard",F542)),ISNUMBER(SEARCH("competenc",F542))),"Role and leadership advisory",
OR(ISNUMBER(SEARCH("meeting",F542)),ISNUMBER(SEARCH("notes",F542)),ISNUMBER(SEARCH("summary",F542))),"Meeting notes and summarization",
TRUE,"Other or fragmented"
)</f>
        <v>Other or fragmented</v>
      </c>
      <c r="O542" s="3" t="s">
        <v>20</v>
      </c>
      <c r="P542" s="3"/>
    </row>
    <row r="543" spans="1:16" x14ac:dyDescent="0.25">
      <c r="A543" t="s">
        <v>15</v>
      </c>
      <c r="B543" s="1">
        <v>45992</v>
      </c>
      <c r="C543" s="1">
        <v>46022</v>
      </c>
      <c r="E543" t="s">
        <v>24</v>
      </c>
      <c r="G543">
        <v>0</v>
      </c>
      <c r="J543">
        <v>0</v>
      </c>
      <c r="K543">
        <v>0</v>
      </c>
      <c r="L543" t="s">
        <v>799</v>
      </c>
      <c r="M543" s="10" t="s">
        <v>19</v>
      </c>
      <c r="N543" s="3" t="str" cm="1">
        <f t="array" ref="N543">_xlfn.IFS(
OR(ISNUMBER(SEARCH("email",D543)),ISNUMBER(SEARCH("email",F543)),ISNUMBER(SEARCH("polish",D543)),ISNUMBER(SEARCH("rewrite",F543)),ISNUMBER(SEARCH("copy",F543))),"Writing and comms",
OR(ISNUMBER(SEARCH("research",F543)),ISNUMBER(SEARCH("intel",F543)),ISNUMBER(SEARCH("company",D543)),ISNUMBER(SEARCH("digger",D543))),"Research and intel",
OR(ISNUMBER(SEARCH("prompt",D543)),ISNUMBER(SEARCH("prompt",F543))),"Prompting help",
OR(ISNUMBER(SEARCH("role",D543)),ISNUMBER(SEARCH("scorecard",F543)),ISNUMBER(SEARCH("competenc",F543))),"Role and leadership advisory",
OR(ISNUMBER(SEARCH("meeting",F543)),ISNUMBER(SEARCH("notes",F543)),ISNUMBER(SEARCH("summary",F543))),"Meeting notes and summarization",
TRUE,"Other or fragmented"
)</f>
        <v>Other or fragmented</v>
      </c>
      <c r="O543" s="3" t="s">
        <v>20</v>
      </c>
      <c r="P543" s="3"/>
    </row>
    <row r="544" spans="1:16" x14ac:dyDescent="0.25">
      <c r="A544" t="s">
        <v>15</v>
      </c>
      <c r="B544" s="1">
        <v>45992</v>
      </c>
      <c r="C544" s="1">
        <v>46022</v>
      </c>
      <c r="E544" t="s">
        <v>24</v>
      </c>
      <c r="G544">
        <v>0</v>
      </c>
      <c r="J544">
        <v>0</v>
      </c>
      <c r="K544">
        <v>0</v>
      </c>
      <c r="L544" t="s">
        <v>800</v>
      </c>
      <c r="M544" s="9" t="s">
        <v>19</v>
      </c>
      <c r="N544" s="3" t="str" cm="1">
        <f t="array" ref="N544">_xlfn.IFS(
OR(ISNUMBER(SEARCH("email",D544)),ISNUMBER(SEARCH("email",F544)),ISNUMBER(SEARCH("polish",D544)),ISNUMBER(SEARCH("rewrite",F544)),ISNUMBER(SEARCH("copy",F544))),"Writing and comms",
OR(ISNUMBER(SEARCH("research",F544)),ISNUMBER(SEARCH("intel",F544)),ISNUMBER(SEARCH("company",D544)),ISNUMBER(SEARCH("digger",D544))),"Research and intel",
OR(ISNUMBER(SEARCH("prompt",D544)),ISNUMBER(SEARCH("prompt",F544))),"Prompting help",
OR(ISNUMBER(SEARCH("role",D544)),ISNUMBER(SEARCH("scorecard",F544)),ISNUMBER(SEARCH("competenc",F544))),"Role and leadership advisory",
OR(ISNUMBER(SEARCH("meeting",F544)),ISNUMBER(SEARCH("notes",F544)),ISNUMBER(SEARCH("summary",F544))),"Meeting notes and summarization",
TRUE,"Other or fragmented"
)</f>
        <v>Other or fragmented</v>
      </c>
      <c r="O544" s="3" t="s">
        <v>20</v>
      </c>
      <c r="P544" s="3"/>
    </row>
    <row r="545" spans="1:16" x14ac:dyDescent="0.25">
      <c r="A545" t="s">
        <v>15</v>
      </c>
      <c r="B545" s="1">
        <v>45992</v>
      </c>
      <c r="C545" s="1">
        <v>46022</v>
      </c>
      <c r="E545" t="s">
        <v>24</v>
      </c>
      <c r="G545">
        <v>0</v>
      </c>
      <c r="J545">
        <v>0</v>
      </c>
      <c r="K545">
        <v>0</v>
      </c>
      <c r="L545" t="s">
        <v>801</v>
      </c>
      <c r="M545" s="10" t="s">
        <v>19</v>
      </c>
      <c r="N545" s="3" t="str" cm="1">
        <f t="array" ref="N545">_xlfn.IFS(
OR(ISNUMBER(SEARCH("email",D545)),ISNUMBER(SEARCH("email",F545)),ISNUMBER(SEARCH("polish",D545)),ISNUMBER(SEARCH("rewrite",F545)),ISNUMBER(SEARCH("copy",F545))),"Writing and comms",
OR(ISNUMBER(SEARCH("research",F545)),ISNUMBER(SEARCH("intel",F545)),ISNUMBER(SEARCH("company",D545)),ISNUMBER(SEARCH("digger",D545))),"Research and intel",
OR(ISNUMBER(SEARCH("prompt",D545)),ISNUMBER(SEARCH("prompt",F545))),"Prompting help",
OR(ISNUMBER(SEARCH("role",D545)),ISNUMBER(SEARCH("scorecard",F545)),ISNUMBER(SEARCH("competenc",F545))),"Role and leadership advisory",
OR(ISNUMBER(SEARCH("meeting",F545)),ISNUMBER(SEARCH("notes",F545)),ISNUMBER(SEARCH("summary",F545))),"Meeting notes and summarization",
TRUE,"Other or fragmented"
)</f>
        <v>Other or fragmented</v>
      </c>
      <c r="O545" s="3" t="s">
        <v>20</v>
      </c>
      <c r="P545" s="3"/>
    </row>
    <row r="546" spans="1:16" x14ac:dyDescent="0.25">
      <c r="A546" t="s">
        <v>15</v>
      </c>
      <c r="B546" s="1">
        <v>45992</v>
      </c>
      <c r="C546" s="1">
        <v>46022</v>
      </c>
      <c r="E546" t="s">
        <v>24</v>
      </c>
      <c r="G546">
        <v>0</v>
      </c>
      <c r="J546">
        <v>0</v>
      </c>
      <c r="K546">
        <v>0</v>
      </c>
      <c r="L546" t="s">
        <v>802</v>
      </c>
      <c r="M546" s="9" t="s">
        <v>19</v>
      </c>
      <c r="N546" s="3" t="str" cm="1">
        <f t="array" ref="N546">_xlfn.IFS(
OR(ISNUMBER(SEARCH("email",D546)),ISNUMBER(SEARCH("email",F546)),ISNUMBER(SEARCH("polish",D546)),ISNUMBER(SEARCH("rewrite",F546)),ISNUMBER(SEARCH("copy",F546))),"Writing and comms",
OR(ISNUMBER(SEARCH("research",F546)),ISNUMBER(SEARCH("intel",F546)),ISNUMBER(SEARCH("company",D546)),ISNUMBER(SEARCH("digger",D546))),"Research and intel",
OR(ISNUMBER(SEARCH("prompt",D546)),ISNUMBER(SEARCH("prompt",F546))),"Prompting help",
OR(ISNUMBER(SEARCH("role",D546)),ISNUMBER(SEARCH("scorecard",F546)),ISNUMBER(SEARCH("competenc",F546))),"Role and leadership advisory",
OR(ISNUMBER(SEARCH("meeting",F546)),ISNUMBER(SEARCH("notes",F546)),ISNUMBER(SEARCH("summary",F546))),"Meeting notes and summarization",
TRUE,"Other or fragmented"
)</f>
        <v>Other or fragmented</v>
      </c>
      <c r="O546" s="3" t="s">
        <v>20</v>
      </c>
      <c r="P546" s="3"/>
    </row>
    <row r="547" spans="1:16" x14ac:dyDescent="0.25">
      <c r="A547" t="s">
        <v>15</v>
      </c>
      <c r="B547" s="1">
        <v>45992</v>
      </c>
      <c r="C547" s="1">
        <v>46022</v>
      </c>
      <c r="D547" t="s">
        <v>803</v>
      </c>
      <c r="E547" t="s">
        <v>24</v>
      </c>
      <c r="F547" t="s">
        <v>804</v>
      </c>
      <c r="G547">
        <v>1</v>
      </c>
      <c r="H547" s="1">
        <v>46008</v>
      </c>
      <c r="I547" s="1">
        <v>46009</v>
      </c>
      <c r="J547">
        <v>11</v>
      </c>
      <c r="K547">
        <v>1</v>
      </c>
      <c r="L547" t="s">
        <v>805</v>
      </c>
      <c r="M547" s="10" t="s">
        <v>19</v>
      </c>
      <c r="N547" s="3" t="str" cm="1">
        <f t="array" ref="N547">_xlfn.IFS(
OR(ISNUMBER(SEARCH("email",D547)),ISNUMBER(SEARCH("email",F547)),ISNUMBER(SEARCH("polish",D547)),ISNUMBER(SEARCH("rewrite",F547)),ISNUMBER(SEARCH("copy",F547))),"Writing and comms",
OR(ISNUMBER(SEARCH("research",F547)),ISNUMBER(SEARCH("intel",F547)),ISNUMBER(SEARCH("company",D547)),ISNUMBER(SEARCH("digger",D547))),"Research and intel",
OR(ISNUMBER(SEARCH("prompt",D547)),ISNUMBER(SEARCH("prompt",F547))),"Prompting help",
OR(ISNUMBER(SEARCH("role",D547)),ISNUMBER(SEARCH("scorecard",F547)),ISNUMBER(SEARCH("competenc",F547))),"Role and leadership advisory",
OR(ISNUMBER(SEARCH("meeting",F547)),ISNUMBER(SEARCH("notes",F547)),ISNUMBER(SEARCH("summary",F547))),"Meeting notes and summarization",
TRUE,"Other or fragmented"
)</f>
        <v>Other or fragmented</v>
      </c>
      <c r="O547" s="3" t="s">
        <v>20</v>
      </c>
      <c r="P547" s="3"/>
    </row>
    <row r="548" spans="1:16" x14ac:dyDescent="0.25">
      <c r="A548" t="s">
        <v>15</v>
      </c>
      <c r="B548" s="1">
        <v>45992</v>
      </c>
      <c r="C548" s="1">
        <v>46022</v>
      </c>
      <c r="E548" t="s">
        <v>24</v>
      </c>
      <c r="G548">
        <v>0</v>
      </c>
      <c r="J548">
        <v>0</v>
      </c>
      <c r="K548">
        <v>0</v>
      </c>
      <c r="L548" t="s">
        <v>806</v>
      </c>
      <c r="M548" s="9" t="s">
        <v>19</v>
      </c>
      <c r="N548" s="3" t="str" cm="1">
        <f t="array" ref="N548">_xlfn.IFS(
OR(ISNUMBER(SEARCH("email",D548)),ISNUMBER(SEARCH("email",F548)),ISNUMBER(SEARCH("polish",D548)),ISNUMBER(SEARCH("rewrite",F548)),ISNUMBER(SEARCH("copy",F548))),"Writing and comms",
OR(ISNUMBER(SEARCH("research",F548)),ISNUMBER(SEARCH("intel",F548)),ISNUMBER(SEARCH("company",D548)),ISNUMBER(SEARCH("digger",D548))),"Research and intel",
OR(ISNUMBER(SEARCH("prompt",D548)),ISNUMBER(SEARCH("prompt",F548))),"Prompting help",
OR(ISNUMBER(SEARCH("role",D548)),ISNUMBER(SEARCH("scorecard",F548)),ISNUMBER(SEARCH("competenc",F548))),"Role and leadership advisory",
OR(ISNUMBER(SEARCH("meeting",F548)),ISNUMBER(SEARCH("notes",F548)),ISNUMBER(SEARCH("summary",F548))),"Meeting notes and summarization",
TRUE,"Other or fragmented"
)</f>
        <v>Other or fragmented</v>
      </c>
      <c r="O548" s="3" t="s">
        <v>20</v>
      </c>
      <c r="P548" s="3"/>
    </row>
    <row r="549" spans="1:16" x14ac:dyDescent="0.25">
      <c r="A549" t="s">
        <v>15</v>
      </c>
      <c r="B549" s="1">
        <v>45992</v>
      </c>
      <c r="C549" s="1">
        <v>46022</v>
      </c>
      <c r="D549" t="s">
        <v>807</v>
      </c>
      <c r="E549" t="s">
        <v>17</v>
      </c>
      <c r="F549" t="s">
        <v>808</v>
      </c>
      <c r="G549">
        <v>1</v>
      </c>
      <c r="H549" s="1">
        <v>45996</v>
      </c>
      <c r="I549" s="1">
        <v>46009</v>
      </c>
      <c r="J549">
        <v>93</v>
      </c>
      <c r="K549">
        <v>1</v>
      </c>
      <c r="L549" t="s">
        <v>809</v>
      </c>
      <c r="M549" s="10" t="s">
        <v>19</v>
      </c>
      <c r="N549" s="3" t="str" cm="1">
        <f t="array" ref="N549">_xlfn.IFS(
OR(ISNUMBER(SEARCH("email",D549)),ISNUMBER(SEARCH("email",F549)),ISNUMBER(SEARCH("polish",D549)),ISNUMBER(SEARCH("rewrite",F549)),ISNUMBER(SEARCH("copy",F549))),"Writing and comms",
OR(ISNUMBER(SEARCH("research",F549)),ISNUMBER(SEARCH("intel",F549)),ISNUMBER(SEARCH("company",D549)),ISNUMBER(SEARCH("digger",D549))),"Research and intel",
OR(ISNUMBER(SEARCH("prompt",D549)),ISNUMBER(SEARCH("prompt",F549))),"Prompting help",
OR(ISNUMBER(SEARCH("role",D549)),ISNUMBER(SEARCH("scorecard",F549)),ISNUMBER(SEARCH("competenc",F549))),"Role and leadership advisory",
OR(ISNUMBER(SEARCH("meeting",F549)),ISNUMBER(SEARCH("notes",F549)),ISNUMBER(SEARCH("summary",F549))),"Meeting notes and summarization",
TRUE,"Other or fragmented"
)</f>
        <v>Other or fragmented</v>
      </c>
      <c r="O549" s="3" t="s">
        <v>20</v>
      </c>
      <c r="P549" s="3"/>
    </row>
    <row r="550" spans="1:16" x14ac:dyDescent="0.25">
      <c r="A550" t="s">
        <v>15</v>
      </c>
      <c r="B550" s="1">
        <v>45992</v>
      </c>
      <c r="C550" s="1">
        <v>46022</v>
      </c>
      <c r="E550" t="s">
        <v>24</v>
      </c>
      <c r="G550">
        <v>0</v>
      </c>
      <c r="J550">
        <v>0</v>
      </c>
      <c r="K550">
        <v>0</v>
      </c>
      <c r="L550" t="s">
        <v>809</v>
      </c>
      <c r="M550" s="9" t="s">
        <v>19</v>
      </c>
      <c r="N550" s="3" t="str" cm="1">
        <f t="array" ref="N550">_xlfn.IFS(
OR(ISNUMBER(SEARCH("email",D550)),ISNUMBER(SEARCH("email",F550)),ISNUMBER(SEARCH("polish",D550)),ISNUMBER(SEARCH("rewrite",F550)),ISNUMBER(SEARCH("copy",F550))),"Writing and comms",
OR(ISNUMBER(SEARCH("research",F550)),ISNUMBER(SEARCH("intel",F550)),ISNUMBER(SEARCH("company",D550)),ISNUMBER(SEARCH("digger",D550))),"Research and intel",
OR(ISNUMBER(SEARCH("prompt",D550)),ISNUMBER(SEARCH("prompt",F550))),"Prompting help",
OR(ISNUMBER(SEARCH("role",D550)),ISNUMBER(SEARCH("scorecard",F550)),ISNUMBER(SEARCH("competenc",F550))),"Role and leadership advisory",
OR(ISNUMBER(SEARCH("meeting",F550)),ISNUMBER(SEARCH("notes",F550)),ISNUMBER(SEARCH("summary",F550))),"Meeting notes and summarization",
TRUE,"Other or fragmented"
)</f>
        <v>Other or fragmented</v>
      </c>
      <c r="O550" s="3" t="s">
        <v>20</v>
      </c>
      <c r="P550" s="3"/>
    </row>
    <row r="551" spans="1:16" x14ac:dyDescent="0.25">
      <c r="A551" t="s">
        <v>15</v>
      </c>
      <c r="B551" s="1">
        <v>45992</v>
      </c>
      <c r="C551" s="1">
        <v>46022</v>
      </c>
      <c r="D551" t="s">
        <v>810</v>
      </c>
      <c r="E551" t="s">
        <v>17</v>
      </c>
      <c r="F551" t="s">
        <v>811</v>
      </c>
      <c r="G551">
        <v>0</v>
      </c>
      <c r="J551">
        <v>0</v>
      </c>
      <c r="K551">
        <v>0</v>
      </c>
      <c r="L551" t="s">
        <v>809</v>
      </c>
      <c r="M551" s="10" t="s">
        <v>19</v>
      </c>
      <c r="N551" s="3" t="str" cm="1">
        <f t="array" ref="N551">_xlfn.IFS(
OR(ISNUMBER(SEARCH("email",D551)),ISNUMBER(SEARCH("email",F551)),ISNUMBER(SEARCH("polish",D551)),ISNUMBER(SEARCH("rewrite",F551)),ISNUMBER(SEARCH("copy",F551))),"Writing and comms",
OR(ISNUMBER(SEARCH("research",F551)),ISNUMBER(SEARCH("intel",F551)),ISNUMBER(SEARCH("company",D551)),ISNUMBER(SEARCH("digger",D551))),"Research and intel",
OR(ISNUMBER(SEARCH("prompt",D551)),ISNUMBER(SEARCH("prompt",F551))),"Prompting help",
OR(ISNUMBER(SEARCH("role",D551)),ISNUMBER(SEARCH("scorecard",F551)),ISNUMBER(SEARCH("competenc",F551))),"Role and leadership advisory",
OR(ISNUMBER(SEARCH("meeting",F551)),ISNUMBER(SEARCH("notes",F551)),ISNUMBER(SEARCH("summary",F551))),"Meeting notes and summarization",
TRUE,"Other or fragmented"
)</f>
        <v>Meeting notes and summarization</v>
      </c>
      <c r="O551" s="3" t="s">
        <v>20</v>
      </c>
      <c r="P551" s="3"/>
    </row>
    <row r="552" spans="1:16" x14ac:dyDescent="0.25">
      <c r="A552" t="s">
        <v>15</v>
      </c>
      <c r="B552" s="1">
        <v>45992</v>
      </c>
      <c r="C552" s="1">
        <v>46022</v>
      </c>
      <c r="E552" t="s">
        <v>24</v>
      </c>
      <c r="G552">
        <v>0</v>
      </c>
      <c r="J552">
        <v>0</v>
      </c>
      <c r="K552">
        <v>0</v>
      </c>
      <c r="L552" t="s">
        <v>809</v>
      </c>
      <c r="M552" s="9" t="s">
        <v>19</v>
      </c>
      <c r="N552" s="3" t="str" cm="1">
        <f t="array" ref="N552">_xlfn.IFS(
OR(ISNUMBER(SEARCH("email",D552)),ISNUMBER(SEARCH("email",F552)),ISNUMBER(SEARCH("polish",D552)),ISNUMBER(SEARCH("rewrite",F552)),ISNUMBER(SEARCH("copy",F552))),"Writing and comms",
OR(ISNUMBER(SEARCH("research",F552)),ISNUMBER(SEARCH("intel",F552)),ISNUMBER(SEARCH("company",D552)),ISNUMBER(SEARCH("digger",D552))),"Research and intel",
OR(ISNUMBER(SEARCH("prompt",D552)),ISNUMBER(SEARCH("prompt",F552))),"Prompting help",
OR(ISNUMBER(SEARCH("role",D552)),ISNUMBER(SEARCH("scorecard",F552)),ISNUMBER(SEARCH("competenc",F552))),"Role and leadership advisory",
OR(ISNUMBER(SEARCH("meeting",F552)),ISNUMBER(SEARCH("notes",F552)),ISNUMBER(SEARCH("summary",F552))),"Meeting notes and summarization",
TRUE,"Other or fragmented"
)</f>
        <v>Other or fragmented</v>
      </c>
      <c r="O552" s="3" t="s">
        <v>20</v>
      </c>
      <c r="P552" s="3"/>
    </row>
    <row r="553" spans="1:16" x14ac:dyDescent="0.25">
      <c r="A553" t="s">
        <v>15</v>
      </c>
      <c r="B553" s="1">
        <v>45992</v>
      </c>
      <c r="C553" s="1">
        <v>46022</v>
      </c>
      <c r="D553" t="s">
        <v>812</v>
      </c>
      <c r="E553" t="s">
        <v>24</v>
      </c>
      <c r="F553" t="s">
        <v>813</v>
      </c>
      <c r="G553">
        <v>0</v>
      </c>
      <c r="J553">
        <v>0</v>
      </c>
      <c r="K553">
        <v>0</v>
      </c>
      <c r="L553" t="s">
        <v>814</v>
      </c>
      <c r="M553" s="10" t="s">
        <v>19</v>
      </c>
      <c r="N553" s="3" t="str" cm="1">
        <f t="array" ref="N553">_xlfn.IFS(
OR(ISNUMBER(SEARCH("email",D553)),ISNUMBER(SEARCH("email",F553)),ISNUMBER(SEARCH("polish",D553)),ISNUMBER(SEARCH("rewrite",F553)),ISNUMBER(SEARCH("copy",F553))),"Writing and comms",
OR(ISNUMBER(SEARCH("research",F553)),ISNUMBER(SEARCH("intel",F553)),ISNUMBER(SEARCH("company",D553)),ISNUMBER(SEARCH("digger",D553))),"Research and intel",
OR(ISNUMBER(SEARCH("prompt",D553)),ISNUMBER(SEARCH("prompt",F553))),"Prompting help",
OR(ISNUMBER(SEARCH("role",D553)),ISNUMBER(SEARCH("scorecard",F553)),ISNUMBER(SEARCH("competenc",F553))),"Role and leadership advisory",
OR(ISNUMBER(SEARCH("meeting",F553)),ISNUMBER(SEARCH("notes",F553)),ISNUMBER(SEARCH("summary",F553))),"Meeting notes and summarization",
TRUE,"Other or fragmented"
)</f>
        <v>Other or fragmented</v>
      </c>
      <c r="O553" s="3" t="s">
        <v>20</v>
      </c>
      <c r="P553" s="3"/>
    </row>
    <row r="554" spans="1:16" x14ac:dyDescent="0.25">
      <c r="A554" t="s">
        <v>15</v>
      </c>
      <c r="B554" s="1">
        <v>45992</v>
      </c>
      <c r="C554" s="1">
        <v>46022</v>
      </c>
      <c r="D554" t="s">
        <v>101</v>
      </c>
      <c r="E554" t="s">
        <v>17</v>
      </c>
      <c r="F554" t="s">
        <v>815</v>
      </c>
      <c r="G554">
        <v>0</v>
      </c>
      <c r="J554">
        <v>0</v>
      </c>
      <c r="K554">
        <v>0</v>
      </c>
      <c r="L554" t="s">
        <v>816</v>
      </c>
      <c r="M554" s="9" t="s">
        <v>19</v>
      </c>
      <c r="N554" s="3" t="str" cm="1">
        <f t="array" ref="N554">_xlfn.IFS(
OR(ISNUMBER(SEARCH("email",D554)),ISNUMBER(SEARCH("email",F554)),ISNUMBER(SEARCH("polish",D554)),ISNUMBER(SEARCH("rewrite",F554)),ISNUMBER(SEARCH("copy",F554))),"Writing and comms",
OR(ISNUMBER(SEARCH("research",F554)),ISNUMBER(SEARCH("intel",F554)),ISNUMBER(SEARCH("company",D554)),ISNUMBER(SEARCH("digger",D554))),"Research and intel",
OR(ISNUMBER(SEARCH("prompt",D554)),ISNUMBER(SEARCH("prompt",F554))),"Prompting help",
OR(ISNUMBER(SEARCH("role",D554)),ISNUMBER(SEARCH("scorecard",F554)),ISNUMBER(SEARCH("competenc",F554))),"Role and leadership advisory",
OR(ISNUMBER(SEARCH("meeting",F554)),ISNUMBER(SEARCH("notes",F554)),ISNUMBER(SEARCH("summary",F554))),"Meeting notes and summarization",
TRUE,"Other or fragmented"
)</f>
        <v>Prompting help</v>
      </c>
      <c r="O554" s="3" t="s">
        <v>20</v>
      </c>
      <c r="P554" s="3"/>
    </row>
    <row r="555" spans="1:16" x14ac:dyDescent="0.25">
      <c r="A555" t="s">
        <v>15</v>
      </c>
      <c r="B555" s="1">
        <v>45992</v>
      </c>
      <c r="C555" s="1">
        <v>46022</v>
      </c>
      <c r="D555" t="s">
        <v>817</v>
      </c>
      <c r="E555" t="s">
        <v>17</v>
      </c>
      <c r="F555" t="s">
        <v>818</v>
      </c>
      <c r="G555">
        <v>1</v>
      </c>
      <c r="H555" s="1">
        <v>45993</v>
      </c>
      <c r="I555" s="1">
        <v>46002</v>
      </c>
      <c r="J555">
        <v>80</v>
      </c>
      <c r="K555">
        <v>2</v>
      </c>
      <c r="L555" t="s">
        <v>819</v>
      </c>
      <c r="M555" s="10" t="s">
        <v>19</v>
      </c>
      <c r="N555" s="3" t="str" cm="1">
        <f t="array" ref="N555">_xlfn.IFS(
OR(ISNUMBER(SEARCH("email",D555)),ISNUMBER(SEARCH("email",F555)),ISNUMBER(SEARCH("polish",D555)),ISNUMBER(SEARCH("rewrite",F555)),ISNUMBER(SEARCH("copy",F555))),"Writing and comms",
OR(ISNUMBER(SEARCH("research",F555)),ISNUMBER(SEARCH("intel",F555)),ISNUMBER(SEARCH("company",D555)),ISNUMBER(SEARCH("digger",D555))),"Research and intel",
OR(ISNUMBER(SEARCH("prompt",D555)),ISNUMBER(SEARCH("prompt",F555))),"Prompting help",
OR(ISNUMBER(SEARCH("role",D555)),ISNUMBER(SEARCH("scorecard",F555)),ISNUMBER(SEARCH("competenc",F555))),"Role and leadership advisory",
OR(ISNUMBER(SEARCH("meeting",F555)),ISNUMBER(SEARCH("notes",F555)),ISNUMBER(SEARCH("summary",F555))),"Meeting notes and summarization",
TRUE,"Other or fragmented"
)</f>
        <v>Writing and comms</v>
      </c>
      <c r="O555" s="3" t="s">
        <v>20</v>
      </c>
      <c r="P555" s="3"/>
    </row>
    <row r="556" spans="1:16" x14ac:dyDescent="0.25">
      <c r="A556" t="s">
        <v>15</v>
      </c>
      <c r="B556" s="1">
        <v>45992</v>
      </c>
      <c r="C556" s="1">
        <v>46022</v>
      </c>
      <c r="D556" t="s">
        <v>820</v>
      </c>
      <c r="E556" t="s">
        <v>17</v>
      </c>
      <c r="F556" t="s">
        <v>821</v>
      </c>
      <c r="G556">
        <v>1</v>
      </c>
      <c r="H556" s="1">
        <v>45992</v>
      </c>
      <c r="I556" s="1">
        <v>46003</v>
      </c>
      <c r="J556">
        <v>280</v>
      </c>
      <c r="K556">
        <v>2</v>
      </c>
      <c r="L556" t="s">
        <v>819</v>
      </c>
      <c r="M556" s="9" t="s">
        <v>19</v>
      </c>
      <c r="N556" s="3" t="str" cm="1">
        <f t="array" ref="N556">_xlfn.IFS(
OR(ISNUMBER(SEARCH("email",D556)),ISNUMBER(SEARCH("email",F556)),ISNUMBER(SEARCH("polish",D556)),ISNUMBER(SEARCH("rewrite",F556)),ISNUMBER(SEARCH("copy",F556))),"Writing and comms",
OR(ISNUMBER(SEARCH("research",F556)),ISNUMBER(SEARCH("intel",F556)),ISNUMBER(SEARCH("company",D556)),ISNUMBER(SEARCH("digger",D556))),"Research and intel",
OR(ISNUMBER(SEARCH("prompt",D556)),ISNUMBER(SEARCH("prompt",F556))),"Prompting help",
OR(ISNUMBER(SEARCH("role",D556)),ISNUMBER(SEARCH("scorecard",F556)),ISNUMBER(SEARCH("competenc",F556))),"Role and leadership advisory",
OR(ISNUMBER(SEARCH("meeting",F556)),ISNUMBER(SEARCH("notes",F556)),ISNUMBER(SEARCH("summary",F556))),"Meeting notes and summarization",
TRUE,"Other or fragmented"
)</f>
        <v>Writing and comms</v>
      </c>
      <c r="O556" s="3" t="s">
        <v>20</v>
      </c>
      <c r="P556" s="3"/>
    </row>
    <row r="557" spans="1:16" x14ac:dyDescent="0.25">
      <c r="A557" t="s">
        <v>15</v>
      </c>
      <c r="B557" s="1">
        <v>45992</v>
      </c>
      <c r="C557" s="1">
        <v>46022</v>
      </c>
      <c r="D557" t="s">
        <v>822</v>
      </c>
      <c r="E557" t="s">
        <v>24</v>
      </c>
      <c r="F557" t="s">
        <v>823</v>
      </c>
      <c r="G557">
        <v>1</v>
      </c>
      <c r="H557" s="1">
        <v>45994</v>
      </c>
      <c r="I557" s="1">
        <v>46022</v>
      </c>
      <c r="J557">
        <v>60</v>
      </c>
      <c r="K557">
        <v>1</v>
      </c>
      <c r="L557" t="s">
        <v>819</v>
      </c>
      <c r="M557" s="10" t="s">
        <v>19</v>
      </c>
      <c r="N557" s="3" t="str" cm="1">
        <f t="array" ref="N557">_xlfn.IFS(
OR(ISNUMBER(SEARCH("email",D557)),ISNUMBER(SEARCH("email",F557)),ISNUMBER(SEARCH("polish",D557)),ISNUMBER(SEARCH("rewrite",F557)),ISNUMBER(SEARCH("copy",F557))),"Writing and comms",
OR(ISNUMBER(SEARCH("research",F557)),ISNUMBER(SEARCH("intel",F557)),ISNUMBER(SEARCH("company",D557)),ISNUMBER(SEARCH("digger",D557))),"Research and intel",
OR(ISNUMBER(SEARCH("prompt",D557)),ISNUMBER(SEARCH("prompt",F557))),"Prompting help",
OR(ISNUMBER(SEARCH("role",D557)),ISNUMBER(SEARCH("scorecard",F557)),ISNUMBER(SEARCH("competenc",F557))),"Role and leadership advisory",
OR(ISNUMBER(SEARCH("meeting",F557)),ISNUMBER(SEARCH("notes",F557)),ISNUMBER(SEARCH("summary",F557))),"Meeting notes and summarization",
TRUE,"Other or fragmented"
)</f>
        <v>Other or fragmented</v>
      </c>
      <c r="O557" s="3" t="s">
        <v>20</v>
      </c>
      <c r="P557" s="3"/>
    </row>
    <row r="558" spans="1:16" x14ac:dyDescent="0.25">
      <c r="A558" t="s">
        <v>15</v>
      </c>
      <c r="B558" s="1">
        <v>45992</v>
      </c>
      <c r="C558" s="1">
        <v>46022</v>
      </c>
      <c r="D558" t="s">
        <v>824</v>
      </c>
      <c r="E558" t="s">
        <v>24</v>
      </c>
      <c r="F558" t="s">
        <v>825</v>
      </c>
      <c r="G558">
        <v>1</v>
      </c>
      <c r="H558" s="1">
        <v>45993</v>
      </c>
      <c r="I558" s="1">
        <v>46002</v>
      </c>
      <c r="J558">
        <v>94</v>
      </c>
      <c r="K558">
        <v>1</v>
      </c>
      <c r="L558" t="s">
        <v>819</v>
      </c>
      <c r="M558" s="9" t="s">
        <v>19</v>
      </c>
      <c r="N558" s="3" t="str" cm="1">
        <f t="array" ref="N558">_xlfn.IFS(
OR(ISNUMBER(SEARCH("email",D558)),ISNUMBER(SEARCH("email",F558)),ISNUMBER(SEARCH("polish",D558)),ISNUMBER(SEARCH("rewrite",F558)),ISNUMBER(SEARCH("copy",F558))),"Writing and comms",
OR(ISNUMBER(SEARCH("research",F558)),ISNUMBER(SEARCH("intel",F558)),ISNUMBER(SEARCH("company",D558)),ISNUMBER(SEARCH("digger",D558))),"Research and intel",
OR(ISNUMBER(SEARCH("prompt",D558)),ISNUMBER(SEARCH("prompt",F558))),"Prompting help",
OR(ISNUMBER(SEARCH("role",D558)),ISNUMBER(SEARCH("scorecard",F558)),ISNUMBER(SEARCH("competenc",F558))),"Role and leadership advisory",
OR(ISNUMBER(SEARCH("meeting",F558)),ISNUMBER(SEARCH("notes",F558)),ISNUMBER(SEARCH("summary",F558))),"Meeting notes and summarization",
TRUE,"Other or fragmented"
)</f>
        <v>Other or fragmented</v>
      </c>
      <c r="O558" s="3" t="s">
        <v>20</v>
      </c>
      <c r="P558" s="3"/>
    </row>
    <row r="559" spans="1:16" x14ac:dyDescent="0.25">
      <c r="A559" t="s">
        <v>15</v>
      </c>
      <c r="B559" s="1">
        <v>45992</v>
      </c>
      <c r="C559" s="1">
        <v>46022</v>
      </c>
      <c r="D559" t="s">
        <v>826</v>
      </c>
      <c r="E559" t="s">
        <v>17</v>
      </c>
      <c r="F559" t="s">
        <v>827</v>
      </c>
      <c r="G559">
        <v>0</v>
      </c>
      <c r="J559">
        <v>0</v>
      </c>
      <c r="K559">
        <v>0</v>
      </c>
      <c r="L559" t="s">
        <v>819</v>
      </c>
      <c r="M559" s="10" t="s">
        <v>19</v>
      </c>
      <c r="N559" s="3" t="str" cm="1">
        <f t="array" ref="N559">_xlfn.IFS(
OR(ISNUMBER(SEARCH("email",D559)),ISNUMBER(SEARCH("email",F559)),ISNUMBER(SEARCH("polish",D559)),ISNUMBER(SEARCH("rewrite",F559)),ISNUMBER(SEARCH("copy",F559))),"Writing and comms",
OR(ISNUMBER(SEARCH("research",F559)),ISNUMBER(SEARCH("intel",F559)),ISNUMBER(SEARCH("company",D559)),ISNUMBER(SEARCH("digger",D559))),"Research and intel",
OR(ISNUMBER(SEARCH("prompt",D559)),ISNUMBER(SEARCH("prompt",F559))),"Prompting help",
OR(ISNUMBER(SEARCH("role",D559)),ISNUMBER(SEARCH("scorecard",F559)),ISNUMBER(SEARCH("competenc",F559))),"Role and leadership advisory",
OR(ISNUMBER(SEARCH("meeting",F559)),ISNUMBER(SEARCH("notes",F559)),ISNUMBER(SEARCH("summary",F559))),"Meeting notes and summarization",
TRUE,"Other or fragmented"
)</f>
        <v>Other or fragmented</v>
      </c>
      <c r="O559" s="3" t="s">
        <v>20</v>
      </c>
      <c r="P559" s="3"/>
    </row>
    <row r="560" spans="1:16" x14ac:dyDescent="0.25">
      <c r="A560" t="s">
        <v>15</v>
      </c>
      <c r="B560" s="1">
        <v>45992</v>
      </c>
      <c r="C560" s="1">
        <v>46022</v>
      </c>
      <c r="D560" t="s">
        <v>828</v>
      </c>
      <c r="E560" t="s">
        <v>24</v>
      </c>
      <c r="F560" t="s">
        <v>829</v>
      </c>
      <c r="G560">
        <v>0</v>
      </c>
      <c r="J560">
        <v>0</v>
      </c>
      <c r="K560">
        <v>0</v>
      </c>
      <c r="L560" t="s">
        <v>819</v>
      </c>
      <c r="M560" s="9" t="s">
        <v>19</v>
      </c>
      <c r="N560" s="3" t="str" cm="1">
        <f t="array" ref="N560">_xlfn.IFS(
OR(ISNUMBER(SEARCH("email",D560)),ISNUMBER(SEARCH("email",F560)),ISNUMBER(SEARCH("polish",D560)),ISNUMBER(SEARCH("rewrite",F560)),ISNUMBER(SEARCH("copy",F560))),"Writing and comms",
OR(ISNUMBER(SEARCH("research",F560)),ISNUMBER(SEARCH("intel",F560)),ISNUMBER(SEARCH("company",D560)),ISNUMBER(SEARCH("digger",D560))),"Research and intel",
OR(ISNUMBER(SEARCH("prompt",D560)),ISNUMBER(SEARCH("prompt",F560))),"Prompting help",
OR(ISNUMBER(SEARCH("role",D560)),ISNUMBER(SEARCH("scorecard",F560)),ISNUMBER(SEARCH("competenc",F560))),"Role and leadership advisory",
OR(ISNUMBER(SEARCH("meeting",F560)),ISNUMBER(SEARCH("notes",F560)),ISNUMBER(SEARCH("summary",F560))),"Meeting notes and summarization",
TRUE,"Other or fragmented"
)</f>
        <v>Writing and comms</v>
      </c>
      <c r="O560" s="3" t="s">
        <v>20</v>
      </c>
      <c r="P560" s="3"/>
    </row>
    <row r="561" spans="1:16" x14ac:dyDescent="0.25">
      <c r="A561" t="s">
        <v>15</v>
      </c>
      <c r="B561" s="1">
        <v>45992</v>
      </c>
      <c r="C561" s="1">
        <v>46022</v>
      </c>
      <c r="D561" t="s">
        <v>830</v>
      </c>
      <c r="E561" t="s">
        <v>24</v>
      </c>
      <c r="F561" t="s">
        <v>831</v>
      </c>
      <c r="G561">
        <v>0</v>
      </c>
      <c r="J561">
        <v>0</v>
      </c>
      <c r="K561">
        <v>0</v>
      </c>
      <c r="L561" t="s">
        <v>819</v>
      </c>
      <c r="M561" s="10" t="s">
        <v>19</v>
      </c>
      <c r="N561" s="3" t="str" cm="1">
        <f t="array" ref="N561">_xlfn.IFS(
OR(ISNUMBER(SEARCH("email",D561)),ISNUMBER(SEARCH("email",F561)),ISNUMBER(SEARCH("polish",D561)),ISNUMBER(SEARCH("rewrite",F561)),ISNUMBER(SEARCH("copy",F561))),"Writing and comms",
OR(ISNUMBER(SEARCH("research",F561)),ISNUMBER(SEARCH("intel",F561)),ISNUMBER(SEARCH("company",D561)),ISNUMBER(SEARCH("digger",D561))),"Research and intel",
OR(ISNUMBER(SEARCH("prompt",D561)),ISNUMBER(SEARCH("prompt",F561))),"Prompting help",
OR(ISNUMBER(SEARCH("role",D561)),ISNUMBER(SEARCH("scorecard",F561)),ISNUMBER(SEARCH("competenc",F561))),"Role and leadership advisory",
OR(ISNUMBER(SEARCH("meeting",F561)),ISNUMBER(SEARCH("notes",F561)),ISNUMBER(SEARCH("summary",F561))),"Meeting notes and summarization",
TRUE,"Other or fragmented"
)</f>
        <v>Other or fragmented</v>
      </c>
      <c r="O561" s="3" t="s">
        <v>20</v>
      </c>
      <c r="P561" s="3"/>
    </row>
    <row r="562" spans="1:16" x14ac:dyDescent="0.25">
      <c r="A562" t="s">
        <v>15</v>
      </c>
      <c r="B562" s="1">
        <v>45992</v>
      </c>
      <c r="C562" s="1">
        <v>46022</v>
      </c>
      <c r="D562" t="s">
        <v>832</v>
      </c>
      <c r="E562" t="s">
        <v>24</v>
      </c>
      <c r="F562" t="s">
        <v>833</v>
      </c>
      <c r="G562">
        <v>0</v>
      </c>
      <c r="J562">
        <v>0</v>
      </c>
      <c r="K562">
        <v>0</v>
      </c>
      <c r="L562" t="s">
        <v>819</v>
      </c>
      <c r="M562" s="9" t="s">
        <v>19</v>
      </c>
      <c r="N562" s="3" t="str" cm="1">
        <f t="array" ref="N562">_xlfn.IFS(
OR(ISNUMBER(SEARCH("email",D562)),ISNUMBER(SEARCH("email",F562)),ISNUMBER(SEARCH("polish",D562)),ISNUMBER(SEARCH("rewrite",F562)),ISNUMBER(SEARCH("copy",F562))),"Writing and comms",
OR(ISNUMBER(SEARCH("research",F562)),ISNUMBER(SEARCH("intel",F562)),ISNUMBER(SEARCH("company",D562)),ISNUMBER(SEARCH("digger",D562))),"Research and intel",
OR(ISNUMBER(SEARCH("prompt",D562)),ISNUMBER(SEARCH("prompt",F562))),"Prompting help",
OR(ISNUMBER(SEARCH("role",D562)),ISNUMBER(SEARCH("scorecard",F562)),ISNUMBER(SEARCH("competenc",F562))),"Role and leadership advisory",
OR(ISNUMBER(SEARCH("meeting",F562)),ISNUMBER(SEARCH("notes",F562)),ISNUMBER(SEARCH("summary",F562))),"Meeting notes and summarization",
TRUE,"Other or fragmented"
)</f>
        <v>Other or fragmented</v>
      </c>
      <c r="O562" s="3" t="s">
        <v>20</v>
      </c>
      <c r="P562" s="3"/>
    </row>
    <row r="563" spans="1:16" x14ac:dyDescent="0.25">
      <c r="A563" t="s">
        <v>15</v>
      </c>
      <c r="B563" s="1">
        <v>45992</v>
      </c>
      <c r="C563" s="1">
        <v>46022</v>
      </c>
      <c r="E563" t="s">
        <v>24</v>
      </c>
      <c r="G563">
        <v>0</v>
      </c>
      <c r="J563">
        <v>0</v>
      </c>
      <c r="K563">
        <v>0</v>
      </c>
      <c r="L563" t="s">
        <v>819</v>
      </c>
      <c r="M563" s="10" t="s">
        <v>19</v>
      </c>
      <c r="N563" s="3" t="str" cm="1">
        <f t="array" ref="N563">_xlfn.IFS(
OR(ISNUMBER(SEARCH("email",D563)),ISNUMBER(SEARCH("email",F563)),ISNUMBER(SEARCH("polish",D563)),ISNUMBER(SEARCH("rewrite",F563)),ISNUMBER(SEARCH("copy",F563))),"Writing and comms",
OR(ISNUMBER(SEARCH("research",F563)),ISNUMBER(SEARCH("intel",F563)),ISNUMBER(SEARCH("company",D563)),ISNUMBER(SEARCH("digger",D563))),"Research and intel",
OR(ISNUMBER(SEARCH("prompt",D563)),ISNUMBER(SEARCH("prompt",F563))),"Prompting help",
OR(ISNUMBER(SEARCH("role",D563)),ISNUMBER(SEARCH("scorecard",F563)),ISNUMBER(SEARCH("competenc",F563))),"Role and leadership advisory",
OR(ISNUMBER(SEARCH("meeting",F563)),ISNUMBER(SEARCH("notes",F563)),ISNUMBER(SEARCH("summary",F563))),"Meeting notes and summarization",
TRUE,"Other or fragmented"
)</f>
        <v>Other or fragmented</v>
      </c>
      <c r="O563" s="3" t="s">
        <v>20</v>
      </c>
      <c r="P563" s="3"/>
    </row>
    <row r="564" spans="1:16" x14ac:dyDescent="0.25">
      <c r="A564" t="s">
        <v>15</v>
      </c>
      <c r="B564" s="1">
        <v>45992</v>
      </c>
      <c r="C564" s="1">
        <v>46022</v>
      </c>
      <c r="E564" t="s">
        <v>24</v>
      </c>
      <c r="G564">
        <v>0</v>
      </c>
      <c r="J564">
        <v>0</v>
      </c>
      <c r="K564">
        <v>0</v>
      </c>
      <c r="L564" t="s">
        <v>819</v>
      </c>
      <c r="M564" s="9" t="s">
        <v>19</v>
      </c>
      <c r="N564" s="3" t="str" cm="1">
        <f t="array" ref="N564">_xlfn.IFS(
OR(ISNUMBER(SEARCH("email",D564)),ISNUMBER(SEARCH("email",F564)),ISNUMBER(SEARCH("polish",D564)),ISNUMBER(SEARCH("rewrite",F564)),ISNUMBER(SEARCH("copy",F564))),"Writing and comms",
OR(ISNUMBER(SEARCH("research",F564)),ISNUMBER(SEARCH("intel",F564)),ISNUMBER(SEARCH("company",D564)),ISNUMBER(SEARCH("digger",D564))),"Research and intel",
OR(ISNUMBER(SEARCH("prompt",D564)),ISNUMBER(SEARCH("prompt",F564))),"Prompting help",
OR(ISNUMBER(SEARCH("role",D564)),ISNUMBER(SEARCH("scorecard",F564)),ISNUMBER(SEARCH("competenc",F564))),"Role and leadership advisory",
OR(ISNUMBER(SEARCH("meeting",F564)),ISNUMBER(SEARCH("notes",F564)),ISNUMBER(SEARCH("summary",F564))),"Meeting notes and summarization",
TRUE,"Other or fragmented"
)</f>
        <v>Other or fragmented</v>
      </c>
      <c r="O564" s="3" t="s">
        <v>20</v>
      </c>
      <c r="P564" s="3"/>
    </row>
    <row r="565" spans="1:16" x14ac:dyDescent="0.25">
      <c r="A565" t="s">
        <v>15</v>
      </c>
      <c r="B565" s="1">
        <v>45992</v>
      </c>
      <c r="C565" s="1">
        <v>46022</v>
      </c>
      <c r="D565" t="s">
        <v>834</v>
      </c>
      <c r="E565" t="s">
        <v>24</v>
      </c>
      <c r="F565" t="s">
        <v>835</v>
      </c>
      <c r="G565">
        <v>0</v>
      </c>
      <c r="J565">
        <v>0</v>
      </c>
      <c r="K565">
        <v>0</v>
      </c>
      <c r="L565" t="s">
        <v>836</v>
      </c>
      <c r="M565" s="10" t="s">
        <v>19</v>
      </c>
      <c r="N565" s="3" t="str" cm="1">
        <f t="array" ref="N565">_xlfn.IFS(
OR(ISNUMBER(SEARCH("email",D565)),ISNUMBER(SEARCH("email",F565)),ISNUMBER(SEARCH("polish",D565)),ISNUMBER(SEARCH("rewrite",F565)),ISNUMBER(SEARCH("copy",F565))),"Writing and comms",
OR(ISNUMBER(SEARCH("research",F565)),ISNUMBER(SEARCH("intel",F565)),ISNUMBER(SEARCH("company",D565)),ISNUMBER(SEARCH("digger",D565))),"Research and intel",
OR(ISNUMBER(SEARCH("prompt",D565)),ISNUMBER(SEARCH("prompt",F565))),"Prompting help",
OR(ISNUMBER(SEARCH("role",D565)),ISNUMBER(SEARCH("scorecard",F565)),ISNUMBER(SEARCH("competenc",F565))),"Role and leadership advisory",
OR(ISNUMBER(SEARCH("meeting",F565)),ISNUMBER(SEARCH("notes",F565)),ISNUMBER(SEARCH("summary",F565))),"Meeting notes and summarization",
TRUE,"Other or fragmented"
)</f>
        <v>Other or fragmented</v>
      </c>
      <c r="O565" s="3" t="s">
        <v>20</v>
      </c>
      <c r="P565" s="3"/>
    </row>
    <row r="566" spans="1:16" x14ac:dyDescent="0.25">
      <c r="A566" t="s">
        <v>15</v>
      </c>
      <c r="B566" s="1">
        <v>45992</v>
      </c>
      <c r="C566" s="1">
        <v>46022</v>
      </c>
      <c r="E566" t="s">
        <v>24</v>
      </c>
      <c r="G566">
        <v>0</v>
      </c>
      <c r="J566">
        <v>0</v>
      </c>
      <c r="K566">
        <v>0</v>
      </c>
      <c r="L566" t="s">
        <v>836</v>
      </c>
      <c r="M566" s="9" t="s">
        <v>19</v>
      </c>
      <c r="N566" s="3" t="str" cm="1">
        <f t="array" ref="N566">_xlfn.IFS(
OR(ISNUMBER(SEARCH("email",D566)),ISNUMBER(SEARCH("email",F566)),ISNUMBER(SEARCH("polish",D566)),ISNUMBER(SEARCH("rewrite",F566)),ISNUMBER(SEARCH("copy",F566))),"Writing and comms",
OR(ISNUMBER(SEARCH("research",F566)),ISNUMBER(SEARCH("intel",F566)),ISNUMBER(SEARCH("company",D566)),ISNUMBER(SEARCH("digger",D566))),"Research and intel",
OR(ISNUMBER(SEARCH("prompt",D566)),ISNUMBER(SEARCH("prompt",F566))),"Prompting help",
OR(ISNUMBER(SEARCH("role",D566)),ISNUMBER(SEARCH("scorecard",F566)),ISNUMBER(SEARCH("competenc",F566))),"Role and leadership advisory",
OR(ISNUMBER(SEARCH("meeting",F566)),ISNUMBER(SEARCH("notes",F566)),ISNUMBER(SEARCH("summary",F566))),"Meeting notes and summarization",
TRUE,"Other or fragmented"
)</f>
        <v>Other or fragmented</v>
      </c>
      <c r="O566" s="3" t="s">
        <v>20</v>
      </c>
      <c r="P566" s="3"/>
    </row>
    <row r="567" spans="1:16" x14ac:dyDescent="0.25">
      <c r="A567" t="s">
        <v>15</v>
      </c>
      <c r="B567" s="1">
        <v>45992</v>
      </c>
      <c r="C567" s="1">
        <v>46022</v>
      </c>
      <c r="E567" t="s">
        <v>24</v>
      </c>
      <c r="G567">
        <v>0</v>
      </c>
      <c r="J567">
        <v>0</v>
      </c>
      <c r="K567">
        <v>0</v>
      </c>
      <c r="L567" t="s">
        <v>836</v>
      </c>
      <c r="M567" s="10" t="s">
        <v>19</v>
      </c>
      <c r="N567" s="3" t="str" cm="1">
        <f t="array" ref="N567">_xlfn.IFS(
OR(ISNUMBER(SEARCH("email",D567)),ISNUMBER(SEARCH("email",F567)),ISNUMBER(SEARCH("polish",D567)),ISNUMBER(SEARCH("rewrite",F567)),ISNUMBER(SEARCH("copy",F567))),"Writing and comms",
OR(ISNUMBER(SEARCH("research",F567)),ISNUMBER(SEARCH("intel",F567)),ISNUMBER(SEARCH("company",D567)),ISNUMBER(SEARCH("digger",D567))),"Research and intel",
OR(ISNUMBER(SEARCH("prompt",D567)),ISNUMBER(SEARCH("prompt",F567))),"Prompting help",
OR(ISNUMBER(SEARCH("role",D567)),ISNUMBER(SEARCH("scorecard",F567)),ISNUMBER(SEARCH("competenc",F567))),"Role and leadership advisory",
OR(ISNUMBER(SEARCH("meeting",F567)),ISNUMBER(SEARCH("notes",F567)),ISNUMBER(SEARCH("summary",F567))),"Meeting notes and summarization",
TRUE,"Other or fragmented"
)</f>
        <v>Other or fragmented</v>
      </c>
      <c r="O567" s="3" t="s">
        <v>20</v>
      </c>
      <c r="P567" s="3"/>
    </row>
    <row r="568" spans="1:16" x14ac:dyDescent="0.25">
      <c r="A568" t="s">
        <v>15</v>
      </c>
      <c r="B568" s="1">
        <v>45992</v>
      </c>
      <c r="C568" s="1">
        <v>46022</v>
      </c>
      <c r="E568" t="s">
        <v>24</v>
      </c>
      <c r="G568">
        <v>0</v>
      </c>
      <c r="J568">
        <v>0</v>
      </c>
      <c r="K568">
        <v>0</v>
      </c>
      <c r="L568" t="s">
        <v>836</v>
      </c>
      <c r="M568" s="9" t="s">
        <v>19</v>
      </c>
      <c r="N568" s="3" t="str" cm="1">
        <f t="array" ref="N568">_xlfn.IFS(
OR(ISNUMBER(SEARCH("email",D568)),ISNUMBER(SEARCH("email",F568)),ISNUMBER(SEARCH("polish",D568)),ISNUMBER(SEARCH("rewrite",F568)),ISNUMBER(SEARCH("copy",F568))),"Writing and comms",
OR(ISNUMBER(SEARCH("research",F568)),ISNUMBER(SEARCH("intel",F568)),ISNUMBER(SEARCH("company",D568)),ISNUMBER(SEARCH("digger",D568))),"Research and intel",
OR(ISNUMBER(SEARCH("prompt",D568)),ISNUMBER(SEARCH("prompt",F568))),"Prompting help",
OR(ISNUMBER(SEARCH("role",D568)),ISNUMBER(SEARCH("scorecard",F568)),ISNUMBER(SEARCH("competenc",F568))),"Role and leadership advisory",
OR(ISNUMBER(SEARCH("meeting",F568)),ISNUMBER(SEARCH("notes",F568)),ISNUMBER(SEARCH("summary",F568))),"Meeting notes and summarization",
TRUE,"Other or fragmented"
)</f>
        <v>Other or fragmented</v>
      </c>
      <c r="O568" s="3" t="s">
        <v>20</v>
      </c>
      <c r="P568" s="3"/>
    </row>
    <row r="569" spans="1:16" x14ac:dyDescent="0.25">
      <c r="A569" t="s">
        <v>15</v>
      </c>
      <c r="B569" s="1">
        <v>45992</v>
      </c>
      <c r="C569" s="1">
        <v>46022</v>
      </c>
      <c r="D569" t="s">
        <v>837</v>
      </c>
      <c r="E569" t="s">
        <v>24</v>
      </c>
      <c r="F569" t="s">
        <v>838</v>
      </c>
      <c r="G569">
        <v>0</v>
      </c>
      <c r="J569">
        <v>0</v>
      </c>
      <c r="K569">
        <v>0</v>
      </c>
      <c r="L569" t="s">
        <v>836</v>
      </c>
      <c r="M569" s="10" t="s">
        <v>19</v>
      </c>
      <c r="N569" s="3" t="str" cm="1">
        <f t="array" ref="N569">_xlfn.IFS(
OR(ISNUMBER(SEARCH("email",D569)),ISNUMBER(SEARCH("email",F569)),ISNUMBER(SEARCH("polish",D569)),ISNUMBER(SEARCH("rewrite",F569)),ISNUMBER(SEARCH("copy",F569))),"Writing and comms",
OR(ISNUMBER(SEARCH("research",F569)),ISNUMBER(SEARCH("intel",F569)),ISNUMBER(SEARCH("company",D569)),ISNUMBER(SEARCH("digger",D569))),"Research and intel",
OR(ISNUMBER(SEARCH("prompt",D569)),ISNUMBER(SEARCH("prompt",F569))),"Prompting help",
OR(ISNUMBER(SEARCH("role",D569)),ISNUMBER(SEARCH("scorecard",F569)),ISNUMBER(SEARCH("competenc",F569))),"Role and leadership advisory",
OR(ISNUMBER(SEARCH("meeting",F569)),ISNUMBER(SEARCH("notes",F569)),ISNUMBER(SEARCH("summary",F569))),"Meeting notes and summarization",
TRUE,"Other or fragmented"
)</f>
        <v>Other or fragmented</v>
      </c>
      <c r="O569" s="3" t="s">
        <v>20</v>
      </c>
      <c r="P569" s="3"/>
    </row>
    <row r="570" spans="1:16" x14ac:dyDescent="0.25">
      <c r="A570" t="s">
        <v>15</v>
      </c>
      <c r="B570" s="1">
        <v>45992</v>
      </c>
      <c r="C570" s="1">
        <v>46022</v>
      </c>
      <c r="D570" t="s">
        <v>839</v>
      </c>
      <c r="E570" t="s">
        <v>24</v>
      </c>
      <c r="G570">
        <v>0</v>
      </c>
      <c r="J570">
        <v>0</v>
      </c>
      <c r="K570">
        <v>0</v>
      </c>
      <c r="L570" t="s">
        <v>836</v>
      </c>
      <c r="M570" s="9" t="s">
        <v>19</v>
      </c>
      <c r="N570" s="3" t="str" cm="1">
        <f t="array" ref="N570">_xlfn.IFS(
OR(ISNUMBER(SEARCH("email",D570)),ISNUMBER(SEARCH("email",F570)),ISNUMBER(SEARCH("polish",D570)),ISNUMBER(SEARCH("rewrite",F570)),ISNUMBER(SEARCH("copy",F570))),"Writing and comms",
OR(ISNUMBER(SEARCH("research",F570)),ISNUMBER(SEARCH("intel",F570)),ISNUMBER(SEARCH("company",D570)),ISNUMBER(SEARCH("digger",D570))),"Research and intel",
OR(ISNUMBER(SEARCH("prompt",D570)),ISNUMBER(SEARCH("prompt",F570))),"Prompting help",
OR(ISNUMBER(SEARCH("role",D570)),ISNUMBER(SEARCH("scorecard",F570)),ISNUMBER(SEARCH("competenc",F570))),"Role and leadership advisory",
OR(ISNUMBER(SEARCH("meeting",F570)),ISNUMBER(SEARCH("notes",F570)),ISNUMBER(SEARCH("summary",F570))),"Meeting notes and summarization",
TRUE,"Other or fragmented"
)</f>
        <v>Other or fragmented</v>
      </c>
      <c r="O570" s="3" t="s">
        <v>20</v>
      </c>
      <c r="P570" s="3"/>
    </row>
    <row r="571" spans="1:16" x14ac:dyDescent="0.25">
      <c r="A571" t="s">
        <v>15</v>
      </c>
      <c r="B571" s="1">
        <v>45992</v>
      </c>
      <c r="C571" s="1">
        <v>46022</v>
      </c>
      <c r="E571" t="s">
        <v>24</v>
      </c>
      <c r="G571">
        <v>0</v>
      </c>
      <c r="J571">
        <v>0</v>
      </c>
      <c r="K571">
        <v>0</v>
      </c>
      <c r="L571" t="s">
        <v>840</v>
      </c>
      <c r="M571" s="10" t="s">
        <v>19</v>
      </c>
      <c r="N571" s="3" t="str" cm="1">
        <f t="array" ref="N571">_xlfn.IFS(
OR(ISNUMBER(SEARCH("email",D571)),ISNUMBER(SEARCH("email",F571)),ISNUMBER(SEARCH("polish",D571)),ISNUMBER(SEARCH("rewrite",F571)),ISNUMBER(SEARCH("copy",F571))),"Writing and comms",
OR(ISNUMBER(SEARCH("research",F571)),ISNUMBER(SEARCH("intel",F571)),ISNUMBER(SEARCH("company",D571)),ISNUMBER(SEARCH("digger",D571))),"Research and intel",
OR(ISNUMBER(SEARCH("prompt",D571)),ISNUMBER(SEARCH("prompt",F571))),"Prompting help",
OR(ISNUMBER(SEARCH("role",D571)),ISNUMBER(SEARCH("scorecard",F571)),ISNUMBER(SEARCH("competenc",F571))),"Role and leadership advisory",
OR(ISNUMBER(SEARCH("meeting",F571)),ISNUMBER(SEARCH("notes",F571)),ISNUMBER(SEARCH("summary",F571))),"Meeting notes and summarization",
TRUE,"Other or fragmented"
)</f>
        <v>Other or fragmented</v>
      </c>
      <c r="O571" s="3" t="s">
        <v>20</v>
      </c>
      <c r="P571" s="3"/>
    </row>
    <row r="572" spans="1:16" x14ac:dyDescent="0.25">
      <c r="A572" t="s">
        <v>15</v>
      </c>
      <c r="B572" s="1">
        <v>45992</v>
      </c>
      <c r="C572" s="1">
        <v>46022</v>
      </c>
      <c r="D572" t="s">
        <v>841</v>
      </c>
      <c r="E572" t="s">
        <v>24</v>
      </c>
      <c r="G572">
        <v>1</v>
      </c>
      <c r="H572" s="1">
        <v>45992</v>
      </c>
      <c r="I572" s="1">
        <v>45992</v>
      </c>
      <c r="J572">
        <v>13</v>
      </c>
      <c r="K572">
        <v>1</v>
      </c>
      <c r="L572" t="s">
        <v>842</v>
      </c>
      <c r="M572" s="9" t="s">
        <v>19</v>
      </c>
      <c r="N572" s="3" t="str" cm="1">
        <f t="array" ref="N572">_xlfn.IFS(
OR(ISNUMBER(SEARCH("email",D572)),ISNUMBER(SEARCH("email",F572)),ISNUMBER(SEARCH("polish",D572)),ISNUMBER(SEARCH("rewrite",F572)),ISNUMBER(SEARCH("copy",F572))),"Writing and comms",
OR(ISNUMBER(SEARCH("research",F572)),ISNUMBER(SEARCH("intel",F572)),ISNUMBER(SEARCH("company",D572)),ISNUMBER(SEARCH("digger",D572))),"Research and intel",
OR(ISNUMBER(SEARCH("prompt",D572)),ISNUMBER(SEARCH("prompt",F572))),"Prompting help",
OR(ISNUMBER(SEARCH("role",D572)),ISNUMBER(SEARCH("scorecard",F572)),ISNUMBER(SEARCH("competenc",F572))),"Role and leadership advisory",
OR(ISNUMBER(SEARCH("meeting",F572)),ISNUMBER(SEARCH("notes",F572)),ISNUMBER(SEARCH("summary",F572))),"Meeting notes and summarization",
TRUE,"Other or fragmented"
)</f>
        <v>Other or fragmented</v>
      </c>
      <c r="O572" s="3" t="s">
        <v>20</v>
      </c>
      <c r="P572" s="3"/>
    </row>
    <row r="573" spans="1:16" x14ac:dyDescent="0.25">
      <c r="A573" t="s">
        <v>15</v>
      </c>
      <c r="B573" s="1">
        <v>45992</v>
      </c>
      <c r="C573" s="1">
        <v>46022</v>
      </c>
      <c r="E573" t="s">
        <v>24</v>
      </c>
      <c r="G573">
        <v>0</v>
      </c>
      <c r="J573">
        <v>0</v>
      </c>
      <c r="K573">
        <v>0</v>
      </c>
      <c r="L573" t="s">
        <v>842</v>
      </c>
      <c r="M573" s="10" t="s">
        <v>19</v>
      </c>
      <c r="N573" s="3" t="str" cm="1">
        <f t="array" ref="N573">_xlfn.IFS(
OR(ISNUMBER(SEARCH("email",D573)),ISNUMBER(SEARCH("email",F573)),ISNUMBER(SEARCH("polish",D573)),ISNUMBER(SEARCH("rewrite",F573)),ISNUMBER(SEARCH("copy",F573))),"Writing and comms",
OR(ISNUMBER(SEARCH("research",F573)),ISNUMBER(SEARCH("intel",F573)),ISNUMBER(SEARCH("company",D573)),ISNUMBER(SEARCH("digger",D573))),"Research and intel",
OR(ISNUMBER(SEARCH("prompt",D573)),ISNUMBER(SEARCH("prompt",F573))),"Prompting help",
OR(ISNUMBER(SEARCH("role",D573)),ISNUMBER(SEARCH("scorecard",F573)),ISNUMBER(SEARCH("competenc",F573))),"Role and leadership advisory",
OR(ISNUMBER(SEARCH("meeting",F573)),ISNUMBER(SEARCH("notes",F573)),ISNUMBER(SEARCH("summary",F573))),"Meeting notes and summarization",
TRUE,"Other or fragmented"
)</f>
        <v>Other or fragmented</v>
      </c>
      <c r="O573" s="3" t="s">
        <v>20</v>
      </c>
      <c r="P573" s="3"/>
    </row>
    <row r="574" spans="1:16" x14ac:dyDescent="0.25">
      <c r="A574" t="s">
        <v>15</v>
      </c>
      <c r="B574" s="1">
        <v>45992</v>
      </c>
      <c r="C574" s="1">
        <v>46022</v>
      </c>
      <c r="D574" t="s">
        <v>841</v>
      </c>
      <c r="E574" t="s">
        <v>24</v>
      </c>
      <c r="F574" t="s">
        <v>843</v>
      </c>
      <c r="G574">
        <v>0</v>
      </c>
      <c r="J574">
        <v>0</v>
      </c>
      <c r="K574">
        <v>0</v>
      </c>
      <c r="L574" t="s">
        <v>842</v>
      </c>
      <c r="M574" s="9" t="s">
        <v>19</v>
      </c>
      <c r="N574" s="3" t="str" cm="1">
        <f t="array" ref="N574">_xlfn.IFS(
OR(ISNUMBER(SEARCH("email",D574)),ISNUMBER(SEARCH("email",F574)),ISNUMBER(SEARCH("polish",D574)),ISNUMBER(SEARCH("rewrite",F574)),ISNUMBER(SEARCH("copy",F574))),"Writing and comms",
OR(ISNUMBER(SEARCH("research",F574)),ISNUMBER(SEARCH("intel",F574)),ISNUMBER(SEARCH("company",D574)),ISNUMBER(SEARCH("digger",D574))),"Research and intel",
OR(ISNUMBER(SEARCH("prompt",D574)),ISNUMBER(SEARCH("prompt",F574))),"Prompting help",
OR(ISNUMBER(SEARCH("role",D574)),ISNUMBER(SEARCH("scorecard",F574)),ISNUMBER(SEARCH("competenc",F574))),"Role and leadership advisory",
OR(ISNUMBER(SEARCH("meeting",F574)),ISNUMBER(SEARCH("notes",F574)),ISNUMBER(SEARCH("summary",F574))),"Meeting notes and summarization",
TRUE,"Other or fragmented"
)</f>
        <v>Other or fragmented</v>
      </c>
      <c r="O574" s="3" t="s">
        <v>20</v>
      </c>
      <c r="P574" s="3"/>
    </row>
    <row r="575" spans="1:16" x14ac:dyDescent="0.25">
      <c r="A575" t="s">
        <v>15</v>
      </c>
      <c r="B575" s="1">
        <v>45992</v>
      </c>
      <c r="C575" s="1">
        <v>46022</v>
      </c>
      <c r="E575" t="s">
        <v>24</v>
      </c>
      <c r="G575">
        <v>0</v>
      </c>
      <c r="J575">
        <v>0</v>
      </c>
      <c r="K575">
        <v>0</v>
      </c>
      <c r="L575" t="s">
        <v>842</v>
      </c>
      <c r="M575" s="10" t="s">
        <v>19</v>
      </c>
      <c r="N575" s="3" t="str" cm="1">
        <f t="array" ref="N575">_xlfn.IFS(
OR(ISNUMBER(SEARCH("email",D575)),ISNUMBER(SEARCH("email",F575)),ISNUMBER(SEARCH("polish",D575)),ISNUMBER(SEARCH("rewrite",F575)),ISNUMBER(SEARCH("copy",F575))),"Writing and comms",
OR(ISNUMBER(SEARCH("research",F575)),ISNUMBER(SEARCH("intel",F575)),ISNUMBER(SEARCH("company",D575)),ISNUMBER(SEARCH("digger",D575))),"Research and intel",
OR(ISNUMBER(SEARCH("prompt",D575)),ISNUMBER(SEARCH("prompt",F575))),"Prompting help",
OR(ISNUMBER(SEARCH("role",D575)),ISNUMBER(SEARCH("scorecard",F575)),ISNUMBER(SEARCH("competenc",F575))),"Role and leadership advisory",
OR(ISNUMBER(SEARCH("meeting",F575)),ISNUMBER(SEARCH("notes",F575)),ISNUMBER(SEARCH("summary",F575))),"Meeting notes and summarization",
TRUE,"Other or fragmented"
)</f>
        <v>Other or fragmented</v>
      </c>
      <c r="O575" s="3" t="s">
        <v>20</v>
      </c>
      <c r="P575" s="3"/>
    </row>
    <row r="576" spans="1:16" x14ac:dyDescent="0.25">
      <c r="A576" t="s">
        <v>15</v>
      </c>
      <c r="B576" s="1">
        <v>45992</v>
      </c>
      <c r="C576" s="1">
        <v>46022</v>
      </c>
      <c r="E576" t="s">
        <v>24</v>
      </c>
      <c r="G576">
        <v>0</v>
      </c>
      <c r="J576">
        <v>0</v>
      </c>
      <c r="K576">
        <v>0</v>
      </c>
      <c r="L576" t="s">
        <v>844</v>
      </c>
      <c r="M576" s="9" t="s">
        <v>19</v>
      </c>
      <c r="N576" s="3" t="str" cm="1">
        <f t="array" ref="N576">_xlfn.IFS(
OR(ISNUMBER(SEARCH("email",D576)),ISNUMBER(SEARCH("email",F576)),ISNUMBER(SEARCH("polish",D576)),ISNUMBER(SEARCH("rewrite",F576)),ISNUMBER(SEARCH("copy",F576))),"Writing and comms",
OR(ISNUMBER(SEARCH("research",F576)),ISNUMBER(SEARCH("intel",F576)),ISNUMBER(SEARCH("company",D576)),ISNUMBER(SEARCH("digger",D576))),"Research and intel",
OR(ISNUMBER(SEARCH("prompt",D576)),ISNUMBER(SEARCH("prompt",F576))),"Prompting help",
OR(ISNUMBER(SEARCH("role",D576)),ISNUMBER(SEARCH("scorecard",F576)),ISNUMBER(SEARCH("competenc",F576))),"Role and leadership advisory",
OR(ISNUMBER(SEARCH("meeting",F576)),ISNUMBER(SEARCH("notes",F576)),ISNUMBER(SEARCH("summary",F576))),"Meeting notes and summarization",
TRUE,"Other or fragmented"
)</f>
        <v>Other or fragmented</v>
      </c>
      <c r="O576" s="3" t="s">
        <v>20</v>
      </c>
      <c r="P576" s="3"/>
    </row>
    <row r="577" spans="1:16" x14ac:dyDescent="0.25">
      <c r="A577" t="s">
        <v>15</v>
      </c>
      <c r="B577" s="1">
        <v>45992</v>
      </c>
      <c r="C577" s="1">
        <v>46022</v>
      </c>
      <c r="D577" t="s">
        <v>845</v>
      </c>
      <c r="E577" t="s">
        <v>17</v>
      </c>
      <c r="F577" t="s">
        <v>846</v>
      </c>
      <c r="G577">
        <v>1</v>
      </c>
      <c r="H577" s="1">
        <v>45996</v>
      </c>
      <c r="I577" s="1">
        <v>45996</v>
      </c>
      <c r="J577">
        <v>1</v>
      </c>
      <c r="K577">
        <v>1</v>
      </c>
      <c r="L577" t="s">
        <v>847</v>
      </c>
      <c r="M577" s="10" t="s">
        <v>19</v>
      </c>
      <c r="N577" s="3" t="str" cm="1">
        <f t="array" ref="N577">_xlfn.IFS(
OR(ISNUMBER(SEARCH("email",D577)),ISNUMBER(SEARCH("email",F577)),ISNUMBER(SEARCH("polish",D577)),ISNUMBER(SEARCH("rewrite",F577)),ISNUMBER(SEARCH("copy",F577))),"Writing and comms",
OR(ISNUMBER(SEARCH("research",F577)),ISNUMBER(SEARCH("intel",F577)),ISNUMBER(SEARCH("company",D577)),ISNUMBER(SEARCH("digger",D577))),"Research and intel",
OR(ISNUMBER(SEARCH("prompt",D577)),ISNUMBER(SEARCH("prompt",F577))),"Prompting help",
OR(ISNUMBER(SEARCH("role",D577)),ISNUMBER(SEARCH("scorecard",F577)),ISNUMBER(SEARCH("competenc",F577))),"Role and leadership advisory",
OR(ISNUMBER(SEARCH("meeting",F577)),ISNUMBER(SEARCH("notes",F577)),ISNUMBER(SEARCH("summary",F577))),"Meeting notes and summarization",
TRUE,"Other or fragmented"
)</f>
        <v>Other or fragmented</v>
      </c>
      <c r="O577" s="3" t="s">
        <v>20</v>
      </c>
      <c r="P577" s="3"/>
    </row>
    <row r="578" spans="1:16" x14ac:dyDescent="0.25">
      <c r="A578" t="s">
        <v>15</v>
      </c>
      <c r="B578" s="1">
        <v>45992</v>
      </c>
      <c r="C578" s="1">
        <v>46022</v>
      </c>
      <c r="D578" t="s">
        <v>848</v>
      </c>
      <c r="E578" t="s">
        <v>17</v>
      </c>
      <c r="F578" t="s">
        <v>849</v>
      </c>
      <c r="G578">
        <v>0</v>
      </c>
      <c r="J578">
        <v>0</v>
      </c>
      <c r="K578">
        <v>0</v>
      </c>
      <c r="L578" t="s">
        <v>847</v>
      </c>
      <c r="M578" s="9" t="s">
        <v>19</v>
      </c>
      <c r="N578" s="3" t="str" cm="1">
        <f t="array" ref="N578">_xlfn.IFS(
OR(ISNUMBER(SEARCH("email",D578)),ISNUMBER(SEARCH("email",F578)),ISNUMBER(SEARCH("polish",D578)),ISNUMBER(SEARCH("rewrite",F578)),ISNUMBER(SEARCH("copy",F578))),"Writing and comms",
OR(ISNUMBER(SEARCH("research",F578)),ISNUMBER(SEARCH("intel",F578)),ISNUMBER(SEARCH("company",D578)),ISNUMBER(SEARCH("digger",D578))),"Research and intel",
OR(ISNUMBER(SEARCH("prompt",D578)),ISNUMBER(SEARCH("prompt",F578))),"Prompting help",
OR(ISNUMBER(SEARCH("role",D578)),ISNUMBER(SEARCH("scorecard",F578)),ISNUMBER(SEARCH("competenc",F578))),"Role and leadership advisory",
OR(ISNUMBER(SEARCH("meeting",F578)),ISNUMBER(SEARCH("notes",F578)),ISNUMBER(SEARCH("summary",F578))),"Meeting notes and summarization",
TRUE,"Other or fragmented"
)</f>
        <v>Other or fragmented</v>
      </c>
      <c r="O578" s="3" t="s">
        <v>20</v>
      </c>
      <c r="P578" s="3"/>
    </row>
    <row r="579" spans="1:16" x14ac:dyDescent="0.25">
      <c r="A579" t="s">
        <v>15</v>
      </c>
      <c r="B579" s="1">
        <v>45992</v>
      </c>
      <c r="C579" s="1">
        <v>46022</v>
      </c>
      <c r="D579" t="s">
        <v>850</v>
      </c>
      <c r="E579" t="s">
        <v>17</v>
      </c>
      <c r="F579" t="s">
        <v>851</v>
      </c>
      <c r="G579">
        <v>0</v>
      </c>
      <c r="J579">
        <v>0</v>
      </c>
      <c r="K579">
        <v>0</v>
      </c>
      <c r="L579" t="s">
        <v>847</v>
      </c>
      <c r="M579" s="10" t="s">
        <v>19</v>
      </c>
      <c r="N579" s="3" t="str" cm="1">
        <f t="array" ref="N579">_xlfn.IFS(
OR(ISNUMBER(SEARCH("email",D579)),ISNUMBER(SEARCH("email",F579)),ISNUMBER(SEARCH("polish",D579)),ISNUMBER(SEARCH("rewrite",F579)),ISNUMBER(SEARCH("copy",F579))),"Writing and comms",
OR(ISNUMBER(SEARCH("research",F579)),ISNUMBER(SEARCH("intel",F579)),ISNUMBER(SEARCH("company",D579)),ISNUMBER(SEARCH("digger",D579))),"Research and intel",
OR(ISNUMBER(SEARCH("prompt",D579)),ISNUMBER(SEARCH("prompt",F579))),"Prompting help",
OR(ISNUMBER(SEARCH("role",D579)),ISNUMBER(SEARCH("scorecard",F579)),ISNUMBER(SEARCH("competenc",F579))),"Role and leadership advisory",
OR(ISNUMBER(SEARCH("meeting",F579)),ISNUMBER(SEARCH("notes",F579)),ISNUMBER(SEARCH("summary",F579))),"Meeting notes and summarization",
TRUE,"Other or fragmented"
)</f>
        <v>Other or fragmented</v>
      </c>
      <c r="O579" s="3" t="s">
        <v>20</v>
      </c>
      <c r="P579" s="3"/>
    </row>
    <row r="580" spans="1:16" x14ac:dyDescent="0.25">
      <c r="A580" t="s">
        <v>15</v>
      </c>
      <c r="B580" s="1">
        <v>45992</v>
      </c>
      <c r="C580" s="1">
        <v>46022</v>
      </c>
      <c r="D580" t="s">
        <v>852</v>
      </c>
      <c r="E580" t="s">
        <v>17</v>
      </c>
      <c r="F580" t="s">
        <v>853</v>
      </c>
      <c r="G580">
        <v>0</v>
      </c>
      <c r="J580">
        <v>0</v>
      </c>
      <c r="K580">
        <v>0</v>
      </c>
      <c r="L580" t="s">
        <v>847</v>
      </c>
      <c r="M580" s="9" t="s">
        <v>19</v>
      </c>
      <c r="N580" s="3" t="str" cm="1">
        <f t="array" ref="N580">_xlfn.IFS(
OR(ISNUMBER(SEARCH("email",D580)),ISNUMBER(SEARCH("email",F580)),ISNUMBER(SEARCH("polish",D580)),ISNUMBER(SEARCH("rewrite",F580)),ISNUMBER(SEARCH("copy",F580))),"Writing and comms",
OR(ISNUMBER(SEARCH("research",F580)),ISNUMBER(SEARCH("intel",F580)),ISNUMBER(SEARCH("company",D580)),ISNUMBER(SEARCH("digger",D580))),"Research and intel",
OR(ISNUMBER(SEARCH("prompt",D580)),ISNUMBER(SEARCH("prompt",F580))),"Prompting help",
OR(ISNUMBER(SEARCH("role",D580)),ISNUMBER(SEARCH("scorecard",F580)),ISNUMBER(SEARCH("competenc",F580))),"Role and leadership advisory",
OR(ISNUMBER(SEARCH("meeting",F580)),ISNUMBER(SEARCH("notes",F580)),ISNUMBER(SEARCH("summary",F580))),"Meeting notes and summarization",
TRUE,"Other or fragmented"
)</f>
        <v>Other or fragmented</v>
      </c>
      <c r="O580" s="3" t="s">
        <v>20</v>
      </c>
      <c r="P580" s="3"/>
    </row>
    <row r="581" spans="1:16" x14ac:dyDescent="0.25">
      <c r="A581" t="s">
        <v>15</v>
      </c>
      <c r="B581" s="1">
        <v>45992</v>
      </c>
      <c r="C581" s="1">
        <v>46022</v>
      </c>
      <c r="D581" t="s">
        <v>854</v>
      </c>
      <c r="E581" t="s">
        <v>17</v>
      </c>
      <c r="F581" t="s">
        <v>849</v>
      </c>
      <c r="G581">
        <v>0</v>
      </c>
      <c r="J581">
        <v>0</v>
      </c>
      <c r="K581">
        <v>0</v>
      </c>
      <c r="L581" t="s">
        <v>847</v>
      </c>
      <c r="M581" s="10" t="s">
        <v>19</v>
      </c>
      <c r="N581" s="3" t="str" cm="1">
        <f t="array" ref="N581">_xlfn.IFS(
OR(ISNUMBER(SEARCH("email",D581)),ISNUMBER(SEARCH("email",F581)),ISNUMBER(SEARCH("polish",D581)),ISNUMBER(SEARCH("rewrite",F581)),ISNUMBER(SEARCH("copy",F581))),"Writing and comms",
OR(ISNUMBER(SEARCH("research",F581)),ISNUMBER(SEARCH("intel",F581)),ISNUMBER(SEARCH("company",D581)),ISNUMBER(SEARCH("digger",D581))),"Research and intel",
OR(ISNUMBER(SEARCH("prompt",D581)),ISNUMBER(SEARCH("prompt",F581))),"Prompting help",
OR(ISNUMBER(SEARCH("role",D581)),ISNUMBER(SEARCH("scorecard",F581)),ISNUMBER(SEARCH("competenc",F581))),"Role and leadership advisory",
OR(ISNUMBER(SEARCH("meeting",F581)),ISNUMBER(SEARCH("notes",F581)),ISNUMBER(SEARCH("summary",F581))),"Meeting notes and summarization",
TRUE,"Other or fragmented"
)</f>
        <v>Other or fragmented</v>
      </c>
      <c r="O581" s="3" t="s">
        <v>20</v>
      </c>
      <c r="P581" s="3"/>
    </row>
    <row r="582" spans="1:16" x14ac:dyDescent="0.25">
      <c r="A582" t="s">
        <v>15</v>
      </c>
      <c r="B582" s="1">
        <v>45992</v>
      </c>
      <c r="C582" s="1">
        <v>46022</v>
      </c>
      <c r="D582" t="s">
        <v>855</v>
      </c>
      <c r="E582" t="s">
        <v>17</v>
      </c>
      <c r="F582" t="s">
        <v>856</v>
      </c>
      <c r="G582">
        <v>0</v>
      </c>
      <c r="J582">
        <v>0</v>
      </c>
      <c r="K582">
        <v>0</v>
      </c>
      <c r="L582" t="s">
        <v>847</v>
      </c>
      <c r="M582" s="9" t="s">
        <v>19</v>
      </c>
      <c r="N582" s="3" t="str" cm="1">
        <f t="array" ref="N582">_xlfn.IFS(
OR(ISNUMBER(SEARCH("email",D582)),ISNUMBER(SEARCH("email",F582)),ISNUMBER(SEARCH("polish",D582)),ISNUMBER(SEARCH("rewrite",F582)),ISNUMBER(SEARCH("copy",F582))),"Writing and comms",
OR(ISNUMBER(SEARCH("research",F582)),ISNUMBER(SEARCH("intel",F582)),ISNUMBER(SEARCH("company",D582)),ISNUMBER(SEARCH("digger",D582))),"Research and intel",
OR(ISNUMBER(SEARCH("prompt",D582)),ISNUMBER(SEARCH("prompt",F582))),"Prompting help",
OR(ISNUMBER(SEARCH("role",D582)),ISNUMBER(SEARCH("scorecard",F582)),ISNUMBER(SEARCH("competenc",F582))),"Role and leadership advisory",
OR(ISNUMBER(SEARCH("meeting",F582)),ISNUMBER(SEARCH("notes",F582)),ISNUMBER(SEARCH("summary",F582))),"Meeting notes and summarization",
TRUE,"Other or fragmented"
)</f>
        <v>Other or fragmented</v>
      </c>
      <c r="O582" s="3" t="s">
        <v>20</v>
      </c>
      <c r="P582" s="3"/>
    </row>
    <row r="583" spans="1:16" x14ac:dyDescent="0.25">
      <c r="A583" t="s">
        <v>15</v>
      </c>
      <c r="B583" s="1">
        <v>45992</v>
      </c>
      <c r="C583" s="1">
        <v>46022</v>
      </c>
      <c r="D583" t="s">
        <v>857</v>
      </c>
      <c r="E583" t="s">
        <v>17</v>
      </c>
      <c r="F583" t="s">
        <v>858</v>
      </c>
      <c r="G583">
        <v>0</v>
      </c>
      <c r="J583">
        <v>0</v>
      </c>
      <c r="K583">
        <v>0</v>
      </c>
      <c r="L583" t="s">
        <v>847</v>
      </c>
      <c r="M583" s="10" t="s">
        <v>19</v>
      </c>
      <c r="N583" s="3" t="str" cm="1">
        <f t="array" ref="N583">_xlfn.IFS(
OR(ISNUMBER(SEARCH("email",D583)),ISNUMBER(SEARCH("email",F583)),ISNUMBER(SEARCH("polish",D583)),ISNUMBER(SEARCH("rewrite",F583)),ISNUMBER(SEARCH("copy",F583))),"Writing and comms",
OR(ISNUMBER(SEARCH("research",F583)),ISNUMBER(SEARCH("intel",F583)),ISNUMBER(SEARCH("company",D583)),ISNUMBER(SEARCH("digger",D583))),"Research and intel",
OR(ISNUMBER(SEARCH("prompt",D583)),ISNUMBER(SEARCH("prompt",F583))),"Prompting help",
OR(ISNUMBER(SEARCH("role",D583)),ISNUMBER(SEARCH("scorecard",F583)),ISNUMBER(SEARCH("competenc",F583))),"Role and leadership advisory",
OR(ISNUMBER(SEARCH("meeting",F583)),ISNUMBER(SEARCH("notes",F583)),ISNUMBER(SEARCH("summary",F583))),"Meeting notes and summarization",
TRUE,"Other or fragmented"
)</f>
        <v>Other or fragmented</v>
      </c>
      <c r="O583" s="3" t="s">
        <v>20</v>
      </c>
      <c r="P583" s="3"/>
    </row>
    <row r="584" spans="1:16" x14ac:dyDescent="0.25">
      <c r="A584" t="s">
        <v>15</v>
      </c>
      <c r="B584" s="1">
        <v>45992</v>
      </c>
      <c r="C584" s="1">
        <v>46022</v>
      </c>
      <c r="E584" t="s">
        <v>24</v>
      </c>
      <c r="G584">
        <v>0</v>
      </c>
      <c r="J584">
        <v>0</v>
      </c>
      <c r="K584">
        <v>0</v>
      </c>
      <c r="L584" t="s">
        <v>859</v>
      </c>
      <c r="M584" s="9" t="s">
        <v>19</v>
      </c>
      <c r="N584" s="3" t="str" cm="1">
        <f t="array" ref="N584">_xlfn.IFS(
OR(ISNUMBER(SEARCH("email",D584)),ISNUMBER(SEARCH("email",F584)),ISNUMBER(SEARCH("polish",D584)),ISNUMBER(SEARCH("rewrite",F584)),ISNUMBER(SEARCH("copy",F584))),"Writing and comms",
OR(ISNUMBER(SEARCH("research",F584)),ISNUMBER(SEARCH("intel",F584)),ISNUMBER(SEARCH("company",D584)),ISNUMBER(SEARCH("digger",D584))),"Research and intel",
OR(ISNUMBER(SEARCH("prompt",D584)),ISNUMBER(SEARCH("prompt",F584))),"Prompting help",
OR(ISNUMBER(SEARCH("role",D584)),ISNUMBER(SEARCH("scorecard",F584)),ISNUMBER(SEARCH("competenc",F584))),"Role and leadership advisory",
OR(ISNUMBER(SEARCH("meeting",F584)),ISNUMBER(SEARCH("notes",F584)),ISNUMBER(SEARCH("summary",F584))),"Meeting notes and summarization",
TRUE,"Other or fragmented"
)</f>
        <v>Other or fragmented</v>
      </c>
      <c r="O584" s="3" t="s">
        <v>20</v>
      </c>
      <c r="P584" s="3"/>
    </row>
    <row r="585" spans="1:16" x14ac:dyDescent="0.25">
      <c r="A585" t="s">
        <v>15</v>
      </c>
      <c r="B585" s="1">
        <v>45992</v>
      </c>
      <c r="C585" s="1">
        <v>46022</v>
      </c>
      <c r="E585" t="s">
        <v>24</v>
      </c>
      <c r="G585">
        <v>0</v>
      </c>
      <c r="J585">
        <v>0</v>
      </c>
      <c r="K585">
        <v>0</v>
      </c>
      <c r="L585" t="s">
        <v>860</v>
      </c>
      <c r="M585" s="10" t="s">
        <v>19</v>
      </c>
      <c r="N585" s="3" t="str" cm="1">
        <f t="array" ref="N585">_xlfn.IFS(
OR(ISNUMBER(SEARCH("email",D585)),ISNUMBER(SEARCH("email",F585)),ISNUMBER(SEARCH("polish",D585)),ISNUMBER(SEARCH("rewrite",F585)),ISNUMBER(SEARCH("copy",F585))),"Writing and comms",
OR(ISNUMBER(SEARCH("research",F585)),ISNUMBER(SEARCH("intel",F585)),ISNUMBER(SEARCH("company",D585)),ISNUMBER(SEARCH("digger",D585))),"Research and intel",
OR(ISNUMBER(SEARCH("prompt",D585)),ISNUMBER(SEARCH("prompt",F585))),"Prompting help",
OR(ISNUMBER(SEARCH("role",D585)),ISNUMBER(SEARCH("scorecard",F585)),ISNUMBER(SEARCH("competenc",F585))),"Role and leadership advisory",
OR(ISNUMBER(SEARCH("meeting",F585)),ISNUMBER(SEARCH("notes",F585)),ISNUMBER(SEARCH("summary",F585))),"Meeting notes and summarization",
TRUE,"Other or fragmented"
)</f>
        <v>Other or fragmented</v>
      </c>
      <c r="O585" s="3" t="s">
        <v>20</v>
      </c>
      <c r="P585" s="3"/>
    </row>
    <row r="586" spans="1:16" x14ac:dyDescent="0.25">
      <c r="A586" t="s">
        <v>15</v>
      </c>
      <c r="B586" s="1">
        <v>45992</v>
      </c>
      <c r="C586" s="1">
        <v>46022</v>
      </c>
      <c r="E586" t="s">
        <v>24</v>
      </c>
      <c r="G586">
        <v>0</v>
      </c>
      <c r="J586">
        <v>0</v>
      </c>
      <c r="K586">
        <v>0</v>
      </c>
      <c r="L586" t="s">
        <v>861</v>
      </c>
      <c r="M586" s="9" t="s">
        <v>19</v>
      </c>
      <c r="N586" s="3" t="str" cm="1">
        <f t="array" ref="N586">_xlfn.IFS(
OR(ISNUMBER(SEARCH("email",D586)),ISNUMBER(SEARCH("email",F586)),ISNUMBER(SEARCH("polish",D586)),ISNUMBER(SEARCH("rewrite",F586)),ISNUMBER(SEARCH("copy",F586))),"Writing and comms",
OR(ISNUMBER(SEARCH("research",F586)),ISNUMBER(SEARCH("intel",F586)),ISNUMBER(SEARCH("company",D586)),ISNUMBER(SEARCH("digger",D586))),"Research and intel",
OR(ISNUMBER(SEARCH("prompt",D586)),ISNUMBER(SEARCH("prompt",F586))),"Prompting help",
OR(ISNUMBER(SEARCH("role",D586)),ISNUMBER(SEARCH("scorecard",F586)),ISNUMBER(SEARCH("competenc",F586))),"Role and leadership advisory",
OR(ISNUMBER(SEARCH("meeting",F586)),ISNUMBER(SEARCH("notes",F586)),ISNUMBER(SEARCH("summary",F586))),"Meeting notes and summarization",
TRUE,"Other or fragmented"
)</f>
        <v>Other or fragmented</v>
      </c>
      <c r="O586" s="3" t="s">
        <v>20</v>
      </c>
      <c r="P586" s="3"/>
    </row>
    <row r="587" spans="1:16" x14ac:dyDescent="0.25">
      <c r="A587" t="s">
        <v>15</v>
      </c>
      <c r="B587" s="1">
        <v>45992</v>
      </c>
      <c r="C587" s="1">
        <v>46022</v>
      </c>
      <c r="D587" t="s">
        <v>862</v>
      </c>
      <c r="E587" t="s">
        <v>17</v>
      </c>
      <c r="F587" t="s">
        <v>863</v>
      </c>
      <c r="G587">
        <v>1</v>
      </c>
      <c r="H587" s="1">
        <v>45999</v>
      </c>
      <c r="I587" s="1">
        <v>45999</v>
      </c>
      <c r="J587">
        <v>11</v>
      </c>
      <c r="K587">
        <v>1</v>
      </c>
      <c r="L587" t="s">
        <v>864</v>
      </c>
      <c r="M587" s="10" t="s">
        <v>19</v>
      </c>
      <c r="N587" s="3" t="str" cm="1">
        <f t="array" ref="N587">_xlfn.IFS(
OR(ISNUMBER(SEARCH("email",D587)),ISNUMBER(SEARCH("email",F587)),ISNUMBER(SEARCH("polish",D587)),ISNUMBER(SEARCH("rewrite",F587)),ISNUMBER(SEARCH("copy",F587))),"Writing and comms",
OR(ISNUMBER(SEARCH("research",F587)),ISNUMBER(SEARCH("intel",F587)),ISNUMBER(SEARCH("company",D587)),ISNUMBER(SEARCH("digger",D587))),"Research and intel",
OR(ISNUMBER(SEARCH("prompt",D587)),ISNUMBER(SEARCH("prompt",F587))),"Prompting help",
OR(ISNUMBER(SEARCH("role",D587)),ISNUMBER(SEARCH("scorecard",F587)),ISNUMBER(SEARCH("competenc",F587))),"Role and leadership advisory",
OR(ISNUMBER(SEARCH("meeting",F587)),ISNUMBER(SEARCH("notes",F587)),ISNUMBER(SEARCH("summary",F587))),"Meeting notes and summarization",
TRUE,"Other or fragmented"
)</f>
        <v>Other or fragmented</v>
      </c>
      <c r="O587" s="3" t="s">
        <v>20</v>
      </c>
      <c r="P587" s="3"/>
    </row>
    <row r="588" spans="1:16" x14ac:dyDescent="0.25">
      <c r="A588" t="s">
        <v>15</v>
      </c>
      <c r="B588" s="1">
        <v>45992</v>
      </c>
      <c r="C588" s="1">
        <v>46022</v>
      </c>
      <c r="D588" t="s">
        <v>865</v>
      </c>
      <c r="E588" t="s">
        <v>17</v>
      </c>
      <c r="F588" t="s">
        <v>866</v>
      </c>
      <c r="G588">
        <v>0</v>
      </c>
      <c r="J588">
        <v>0</v>
      </c>
      <c r="K588">
        <v>0</v>
      </c>
      <c r="L588" t="s">
        <v>864</v>
      </c>
      <c r="M588" s="9" t="s">
        <v>19</v>
      </c>
      <c r="N588" s="3" t="str" cm="1">
        <f t="array" ref="N588">_xlfn.IFS(
OR(ISNUMBER(SEARCH("email",D588)),ISNUMBER(SEARCH("email",F588)),ISNUMBER(SEARCH("polish",D588)),ISNUMBER(SEARCH("rewrite",F588)),ISNUMBER(SEARCH("copy",F588))),"Writing and comms",
OR(ISNUMBER(SEARCH("research",F588)),ISNUMBER(SEARCH("intel",F588)),ISNUMBER(SEARCH("company",D588)),ISNUMBER(SEARCH("digger",D588))),"Research and intel",
OR(ISNUMBER(SEARCH("prompt",D588)),ISNUMBER(SEARCH("prompt",F588))),"Prompting help",
OR(ISNUMBER(SEARCH("role",D588)),ISNUMBER(SEARCH("scorecard",F588)),ISNUMBER(SEARCH("competenc",F588))),"Role and leadership advisory",
OR(ISNUMBER(SEARCH("meeting",F588)),ISNUMBER(SEARCH("notes",F588)),ISNUMBER(SEARCH("summary",F588))),"Meeting notes and summarization",
TRUE,"Other or fragmented"
)</f>
        <v>Other or fragmented</v>
      </c>
      <c r="O588" s="3" t="s">
        <v>20</v>
      </c>
      <c r="P588" s="3"/>
    </row>
    <row r="589" spans="1:16" x14ac:dyDescent="0.25">
      <c r="A589" t="s">
        <v>15</v>
      </c>
      <c r="B589" s="1">
        <v>45992</v>
      </c>
      <c r="C589" s="1">
        <v>46022</v>
      </c>
      <c r="D589" t="s">
        <v>867</v>
      </c>
      <c r="E589" t="s">
        <v>24</v>
      </c>
      <c r="F589" t="s">
        <v>868</v>
      </c>
      <c r="G589">
        <v>0</v>
      </c>
      <c r="J589">
        <v>0</v>
      </c>
      <c r="K589">
        <v>0</v>
      </c>
      <c r="L589" t="s">
        <v>869</v>
      </c>
      <c r="M589" s="10" t="s">
        <v>19</v>
      </c>
      <c r="N589" s="3" t="str" cm="1">
        <f t="array" ref="N589">_xlfn.IFS(
OR(ISNUMBER(SEARCH("email",D589)),ISNUMBER(SEARCH("email",F589)),ISNUMBER(SEARCH("polish",D589)),ISNUMBER(SEARCH("rewrite",F589)),ISNUMBER(SEARCH("copy",F589))),"Writing and comms",
OR(ISNUMBER(SEARCH("research",F589)),ISNUMBER(SEARCH("intel",F589)),ISNUMBER(SEARCH("company",D589)),ISNUMBER(SEARCH("digger",D589))),"Research and intel",
OR(ISNUMBER(SEARCH("prompt",D589)),ISNUMBER(SEARCH("prompt",F589))),"Prompting help",
OR(ISNUMBER(SEARCH("role",D589)),ISNUMBER(SEARCH("scorecard",F589)),ISNUMBER(SEARCH("competenc",F589))),"Role and leadership advisory",
OR(ISNUMBER(SEARCH("meeting",F589)),ISNUMBER(SEARCH("notes",F589)),ISNUMBER(SEARCH("summary",F589))),"Meeting notes and summarization",
TRUE,"Other or fragmented"
)</f>
        <v>Other or fragmented</v>
      </c>
      <c r="O589" s="3" t="s">
        <v>20</v>
      </c>
      <c r="P589" s="3"/>
    </row>
    <row r="590" spans="1:16" x14ac:dyDescent="0.25">
      <c r="A590" t="s">
        <v>15</v>
      </c>
      <c r="B590" s="1">
        <v>45992</v>
      </c>
      <c r="C590" s="1">
        <v>46022</v>
      </c>
      <c r="E590" t="s">
        <v>24</v>
      </c>
      <c r="G590">
        <v>0</v>
      </c>
      <c r="J590">
        <v>0</v>
      </c>
      <c r="K590">
        <v>0</v>
      </c>
      <c r="L590" t="s">
        <v>869</v>
      </c>
      <c r="M590" s="9" t="s">
        <v>19</v>
      </c>
      <c r="N590" s="3" t="str" cm="1">
        <f t="array" ref="N590">_xlfn.IFS(
OR(ISNUMBER(SEARCH("email",D590)),ISNUMBER(SEARCH("email",F590)),ISNUMBER(SEARCH("polish",D590)),ISNUMBER(SEARCH("rewrite",F590)),ISNUMBER(SEARCH("copy",F590))),"Writing and comms",
OR(ISNUMBER(SEARCH("research",F590)),ISNUMBER(SEARCH("intel",F590)),ISNUMBER(SEARCH("company",D590)),ISNUMBER(SEARCH("digger",D590))),"Research and intel",
OR(ISNUMBER(SEARCH("prompt",D590)),ISNUMBER(SEARCH("prompt",F590))),"Prompting help",
OR(ISNUMBER(SEARCH("role",D590)),ISNUMBER(SEARCH("scorecard",F590)),ISNUMBER(SEARCH("competenc",F590))),"Role and leadership advisory",
OR(ISNUMBER(SEARCH("meeting",F590)),ISNUMBER(SEARCH("notes",F590)),ISNUMBER(SEARCH("summary",F590))),"Meeting notes and summarization",
TRUE,"Other or fragmented"
)</f>
        <v>Other or fragmented</v>
      </c>
      <c r="O590" s="3" t="s">
        <v>20</v>
      </c>
      <c r="P590" s="3"/>
    </row>
    <row r="591" spans="1:16" x14ac:dyDescent="0.25">
      <c r="A591" t="s">
        <v>15</v>
      </c>
      <c r="B591" s="1">
        <v>45992</v>
      </c>
      <c r="C591" s="1">
        <v>46022</v>
      </c>
      <c r="E591" t="s">
        <v>24</v>
      </c>
      <c r="G591">
        <v>0</v>
      </c>
      <c r="J591">
        <v>0</v>
      </c>
      <c r="K591">
        <v>0</v>
      </c>
      <c r="L591" t="s">
        <v>870</v>
      </c>
      <c r="M591" s="10" t="s">
        <v>19</v>
      </c>
      <c r="N591" s="3" t="str" cm="1">
        <f t="array" ref="N591">_xlfn.IFS(
OR(ISNUMBER(SEARCH("email",D591)),ISNUMBER(SEARCH("email",F591)),ISNUMBER(SEARCH("polish",D591)),ISNUMBER(SEARCH("rewrite",F591)),ISNUMBER(SEARCH("copy",F591))),"Writing and comms",
OR(ISNUMBER(SEARCH("research",F591)),ISNUMBER(SEARCH("intel",F591)),ISNUMBER(SEARCH("company",D591)),ISNUMBER(SEARCH("digger",D591))),"Research and intel",
OR(ISNUMBER(SEARCH("prompt",D591)),ISNUMBER(SEARCH("prompt",F591))),"Prompting help",
OR(ISNUMBER(SEARCH("role",D591)),ISNUMBER(SEARCH("scorecard",F591)),ISNUMBER(SEARCH("competenc",F591))),"Role and leadership advisory",
OR(ISNUMBER(SEARCH("meeting",F591)),ISNUMBER(SEARCH("notes",F591)),ISNUMBER(SEARCH("summary",F591))),"Meeting notes and summarization",
TRUE,"Other or fragmented"
)</f>
        <v>Other or fragmented</v>
      </c>
      <c r="O591" s="3" t="s">
        <v>20</v>
      </c>
      <c r="P591" s="3"/>
    </row>
    <row r="592" spans="1:16" x14ac:dyDescent="0.25">
      <c r="A592" t="s">
        <v>15</v>
      </c>
      <c r="B592" s="1">
        <v>45992</v>
      </c>
      <c r="C592" s="1">
        <v>46022</v>
      </c>
      <c r="D592" t="s">
        <v>871</v>
      </c>
      <c r="E592" t="s">
        <v>17</v>
      </c>
      <c r="F592" t="s">
        <v>872</v>
      </c>
      <c r="G592">
        <v>0</v>
      </c>
      <c r="J592">
        <v>0</v>
      </c>
      <c r="K592">
        <v>0</v>
      </c>
      <c r="L592" t="s">
        <v>873</v>
      </c>
      <c r="M592" s="9" t="s">
        <v>19</v>
      </c>
      <c r="N592" s="3" t="str" cm="1">
        <f t="array" ref="N592">_xlfn.IFS(
OR(ISNUMBER(SEARCH("email",D592)),ISNUMBER(SEARCH("email",F592)),ISNUMBER(SEARCH("polish",D592)),ISNUMBER(SEARCH("rewrite",F592)),ISNUMBER(SEARCH("copy",F592))),"Writing and comms",
OR(ISNUMBER(SEARCH("research",F592)),ISNUMBER(SEARCH("intel",F592)),ISNUMBER(SEARCH("company",D592)),ISNUMBER(SEARCH("digger",D592))),"Research and intel",
OR(ISNUMBER(SEARCH("prompt",D592)),ISNUMBER(SEARCH("prompt",F592))),"Prompting help",
OR(ISNUMBER(SEARCH("role",D592)),ISNUMBER(SEARCH("scorecard",F592)),ISNUMBER(SEARCH("competenc",F592))),"Role and leadership advisory",
OR(ISNUMBER(SEARCH("meeting",F592)),ISNUMBER(SEARCH("notes",F592)),ISNUMBER(SEARCH("summary",F592))),"Meeting notes and summarization",
TRUE,"Other or fragmented"
)</f>
        <v>Other or fragmented</v>
      </c>
      <c r="O592" s="3" t="s">
        <v>20</v>
      </c>
      <c r="P592" s="3"/>
    </row>
    <row r="593" spans="1:16" x14ac:dyDescent="0.25">
      <c r="A593" t="s">
        <v>15</v>
      </c>
      <c r="B593" s="1">
        <v>45992</v>
      </c>
      <c r="C593" s="1">
        <v>46022</v>
      </c>
      <c r="D593" t="s">
        <v>874</v>
      </c>
      <c r="E593" t="s">
        <v>17</v>
      </c>
      <c r="G593">
        <v>0</v>
      </c>
      <c r="J593">
        <v>0</v>
      </c>
      <c r="K593">
        <v>0</v>
      </c>
      <c r="L593" t="s">
        <v>873</v>
      </c>
      <c r="M593" s="10" t="s">
        <v>19</v>
      </c>
      <c r="N593" s="3" t="str" cm="1">
        <f t="array" ref="N593">_xlfn.IFS(
OR(ISNUMBER(SEARCH("email",D593)),ISNUMBER(SEARCH("email",F593)),ISNUMBER(SEARCH("polish",D593)),ISNUMBER(SEARCH("rewrite",F593)),ISNUMBER(SEARCH("copy",F593))),"Writing and comms",
OR(ISNUMBER(SEARCH("research",F593)),ISNUMBER(SEARCH("intel",F593)),ISNUMBER(SEARCH("company",D593)),ISNUMBER(SEARCH("digger",D593))),"Research and intel",
OR(ISNUMBER(SEARCH("prompt",D593)),ISNUMBER(SEARCH("prompt",F593))),"Prompting help",
OR(ISNUMBER(SEARCH("role",D593)),ISNUMBER(SEARCH("scorecard",F593)),ISNUMBER(SEARCH("competenc",F593))),"Role and leadership advisory",
OR(ISNUMBER(SEARCH("meeting",F593)),ISNUMBER(SEARCH("notes",F593)),ISNUMBER(SEARCH("summary",F593))),"Meeting notes and summarization",
TRUE,"Other or fragmented"
)</f>
        <v>Other or fragmented</v>
      </c>
      <c r="O593" s="3" t="s">
        <v>20</v>
      </c>
      <c r="P593" s="3"/>
    </row>
    <row r="594" spans="1:16" x14ac:dyDescent="0.25">
      <c r="A594" t="s">
        <v>15</v>
      </c>
      <c r="B594" s="1">
        <v>45992</v>
      </c>
      <c r="C594" s="1">
        <v>46022</v>
      </c>
      <c r="D594" t="s">
        <v>875</v>
      </c>
      <c r="E594" t="s">
        <v>17</v>
      </c>
      <c r="F594" t="s">
        <v>876</v>
      </c>
      <c r="G594">
        <v>0</v>
      </c>
      <c r="J594">
        <v>0</v>
      </c>
      <c r="K594">
        <v>0</v>
      </c>
      <c r="L594" t="s">
        <v>873</v>
      </c>
      <c r="M594" s="9" t="s">
        <v>19</v>
      </c>
      <c r="N594" s="3" t="str" cm="1">
        <f t="array" ref="N594">_xlfn.IFS(
OR(ISNUMBER(SEARCH("email",D594)),ISNUMBER(SEARCH("email",F594)),ISNUMBER(SEARCH("polish",D594)),ISNUMBER(SEARCH("rewrite",F594)),ISNUMBER(SEARCH("copy",F594))),"Writing and comms",
OR(ISNUMBER(SEARCH("research",F594)),ISNUMBER(SEARCH("intel",F594)),ISNUMBER(SEARCH("company",D594)),ISNUMBER(SEARCH("digger",D594))),"Research and intel",
OR(ISNUMBER(SEARCH("prompt",D594)),ISNUMBER(SEARCH("prompt",F594))),"Prompting help",
OR(ISNUMBER(SEARCH("role",D594)),ISNUMBER(SEARCH("scorecard",F594)),ISNUMBER(SEARCH("competenc",F594))),"Role and leadership advisory",
OR(ISNUMBER(SEARCH("meeting",F594)),ISNUMBER(SEARCH("notes",F594)),ISNUMBER(SEARCH("summary",F594))),"Meeting notes and summarization",
TRUE,"Other or fragmented"
)</f>
        <v>Meeting notes and summarization</v>
      </c>
      <c r="O594" s="3" t="s">
        <v>20</v>
      </c>
      <c r="P594" s="3"/>
    </row>
    <row r="595" spans="1:16" x14ac:dyDescent="0.25">
      <c r="A595" t="s">
        <v>15</v>
      </c>
      <c r="B595" s="1">
        <v>45992</v>
      </c>
      <c r="C595" s="1">
        <v>46022</v>
      </c>
      <c r="D595" t="s">
        <v>877</v>
      </c>
      <c r="E595" t="s">
        <v>17</v>
      </c>
      <c r="F595" t="s">
        <v>878</v>
      </c>
      <c r="G595">
        <v>0</v>
      </c>
      <c r="J595">
        <v>0</v>
      </c>
      <c r="K595">
        <v>0</v>
      </c>
      <c r="L595" t="s">
        <v>873</v>
      </c>
      <c r="M595" s="10" t="s">
        <v>19</v>
      </c>
      <c r="N595" s="3" t="str" cm="1">
        <f t="array" ref="N595">_xlfn.IFS(
OR(ISNUMBER(SEARCH("email",D595)),ISNUMBER(SEARCH("email",F595)),ISNUMBER(SEARCH("polish",D595)),ISNUMBER(SEARCH("rewrite",F595)),ISNUMBER(SEARCH("copy",F595))),"Writing and comms",
OR(ISNUMBER(SEARCH("research",F595)),ISNUMBER(SEARCH("intel",F595)),ISNUMBER(SEARCH("company",D595)),ISNUMBER(SEARCH("digger",D595))),"Research and intel",
OR(ISNUMBER(SEARCH("prompt",D595)),ISNUMBER(SEARCH("prompt",F595))),"Prompting help",
OR(ISNUMBER(SEARCH("role",D595)),ISNUMBER(SEARCH("scorecard",F595)),ISNUMBER(SEARCH("competenc",F595))),"Role and leadership advisory",
OR(ISNUMBER(SEARCH("meeting",F595)),ISNUMBER(SEARCH("notes",F595)),ISNUMBER(SEARCH("summary",F595))),"Meeting notes and summarization",
TRUE,"Other or fragmented"
)</f>
        <v>Other or fragmented</v>
      </c>
      <c r="O595" s="3" t="s">
        <v>20</v>
      </c>
      <c r="P595" s="3"/>
    </row>
    <row r="596" spans="1:16" x14ac:dyDescent="0.25">
      <c r="A596" t="s">
        <v>15</v>
      </c>
      <c r="B596" s="1">
        <v>45992</v>
      </c>
      <c r="C596" s="1">
        <v>46022</v>
      </c>
      <c r="D596" t="s">
        <v>879</v>
      </c>
      <c r="E596" t="s">
        <v>17</v>
      </c>
      <c r="F596" t="s">
        <v>880</v>
      </c>
      <c r="G596">
        <v>1</v>
      </c>
      <c r="H596" s="1">
        <v>45992</v>
      </c>
      <c r="I596" s="1">
        <v>46021</v>
      </c>
      <c r="J596">
        <v>1808</v>
      </c>
      <c r="K596">
        <v>193</v>
      </c>
      <c r="L596" t="s">
        <v>881</v>
      </c>
      <c r="M596" s="9" t="s">
        <v>12</v>
      </c>
      <c r="N596" s="3" t="str" cm="1">
        <f t="array" ref="N596">_xlfn.IFS(
OR(ISNUMBER(SEARCH("email",D596)),ISNUMBER(SEARCH("email",F596)),ISNUMBER(SEARCH("polish",D596)),ISNUMBER(SEARCH("rewrite",F596)),ISNUMBER(SEARCH("copy",F596))),"Writing and comms",
OR(ISNUMBER(SEARCH("research",F596)),ISNUMBER(SEARCH("intel",F596)),ISNUMBER(SEARCH("company",D596)),ISNUMBER(SEARCH("digger",D596))),"Research and intel",
OR(ISNUMBER(SEARCH("prompt",D596)),ISNUMBER(SEARCH("prompt",F596))),"Prompting help",
OR(ISNUMBER(SEARCH("role",D596)),ISNUMBER(SEARCH("scorecard",F596)),ISNUMBER(SEARCH("competenc",F596))),"Role and leadership advisory",
OR(ISNUMBER(SEARCH("meeting",F596)),ISNUMBER(SEARCH("notes",F596)),ISNUMBER(SEARCH("summary",F596))),"Meeting notes and summarization",
TRUE,"Other or fragmented"
)</f>
        <v>Research and intel</v>
      </c>
      <c r="O596" s="3" t="s">
        <v>20</v>
      </c>
      <c r="P596" s="3"/>
    </row>
    <row r="597" spans="1:16" x14ac:dyDescent="0.25">
      <c r="A597" t="s">
        <v>15</v>
      </c>
      <c r="B597" s="1">
        <v>45992</v>
      </c>
      <c r="C597" s="1">
        <v>46022</v>
      </c>
      <c r="D597" t="s">
        <v>882</v>
      </c>
      <c r="E597" t="s">
        <v>17</v>
      </c>
      <c r="F597" t="s">
        <v>883</v>
      </c>
      <c r="G597">
        <v>1</v>
      </c>
      <c r="H597" s="1">
        <v>45992</v>
      </c>
      <c r="I597" s="1">
        <v>46022</v>
      </c>
      <c r="J597">
        <v>1606</v>
      </c>
      <c r="K597">
        <v>120</v>
      </c>
      <c r="L597" t="s">
        <v>881</v>
      </c>
      <c r="M597" s="10" t="s">
        <v>12</v>
      </c>
      <c r="N597" s="3" t="str" cm="1">
        <f t="array" ref="N597">_xlfn.IFS(
OR(ISNUMBER(SEARCH("email",D597)),ISNUMBER(SEARCH("email",F597)),ISNUMBER(SEARCH("polish",D597)),ISNUMBER(SEARCH("rewrite",F597)),ISNUMBER(SEARCH("copy",F597))),"Writing and comms",
OR(ISNUMBER(SEARCH("research",F597)),ISNUMBER(SEARCH("intel",F597)),ISNUMBER(SEARCH("company",D597)),ISNUMBER(SEARCH("digger",D597))),"Research and intel",
OR(ISNUMBER(SEARCH("prompt",D597)),ISNUMBER(SEARCH("prompt",F597))),"Prompting help",
OR(ISNUMBER(SEARCH("role",D597)),ISNUMBER(SEARCH("scorecard",F597)),ISNUMBER(SEARCH("competenc",F597))),"Role and leadership advisory",
OR(ISNUMBER(SEARCH("meeting",F597)),ISNUMBER(SEARCH("notes",F597)),ISNUMBER(SEARCH("summary",F597))),"Meeting notes and summarization",
TRUE,"Other or fragmented"
)</f>
        <v>Prompting help</v>
      </c>
      <c r="O597" s="3" t="s">
        <v>20</v>
      </c>
      <c r="P597" s="3"/>
    </row>
    <row r="598" spans="1:16" x14ac:dyDescent="0.25">
      <c r="A598" t="s">
        <v>15</v>
      </c>
      <c r="B598" s="1">
        <v>45992</v>
      </c>
      <c r="C598" s="1">
        <v>46022</v>
      </c>
      <c r="D598" t="s">
        <v>884</v>
      </c>
      <c r="E598" t="s">
        <v>17</v>
      </c>
      <c r="F598" t="s">
        <v>380</v>
      </c>
      <c r="G598">
        <v>1</v>
      </c>
      <c r="H598" s="1">
        <v>45992</v>
      </c>
      <c r="I598" s="1">
        <v>46009</v>
      </c>
      <c r="J598">
        <v>111</v>
      </c>
      <c r="K598">
        <v>5</v>
      </c>
      <c r="L598" t="s">
        <v>881</v>
      </c>
      <c r="M598" s="9" t="s">
        <v>12</v>
      </c>
      <c r="N598" s="3" t="str" cm="1">
        <f t="array" ref="N598">_xlfn.IFS(
OR(ISNUMBER(SEARCH("email",D598)),ISNUMBER(SEARCH("email",F598)),ISNUMBER(SEARCH("polish",D598)),ISNUMBER(SEARCH("rewrite",F598)),ISNUMBER(SEARCH("copy",F598))),"Writing and comms",
OR(ISNUMBER(SEARCH("research",F598)),ISNUMBER(SEARCH("intel",F598)),ISNUMBER(SEARCH("company",D598)),ISNUMBER(SEARCH("digger",D598))),"Research and intel",
OR(ISNUMBER(SEARCH("prompt",D598)),ISNUMBER(SEARCH("prompt",F598))),"Prompting help",
OR(ISNUMBER(SEARCH("role",D598)),ISNUMBER(SEARCH("scorecard",F598)),ISNUMBER(SEARCH("competenc",F598))),"Role and leadership advisory",
OR(ISNUMBER(SEARCH("meeting",F598)),ISNUMBER(SEARCH("notes",F598)),ISNUMBER(SEARCH("summary",F598))),"Meeting notes and summarization",
TRUE,"Other or fragmented"
)</f>
        <v>Other or fragmented</v>
      </c>
      <c r="O598" s="3" t="s">
        <v>20</v>
      </c>
      <c r="P598" s="3"/>
    </row>
    <row r="599" spans="1:16" x14ac:dyDescent="0.25">
      <c r="A599" t="s">
        <v>15</v>
      </c>
      <c r="B599" s="1">
        <v>45992</v>
      </c>
      <c r="C599" s="1">
        <v>46022</v>
      </c>
      <c r="D599" t="s">
        <v>885</v>
      </c>
      <c r="E599" t="s">
        <v>17</v>
      </c>
      <c r="F599" t="s">
        <v>377</v>
      </c>
      <c r="G599">
        <v>1</v>
      </c>
      <c r="H599" s="1">
        <v>45992</v>
      </c>
      <c r="I599" s="1">
        <v>46009</v>
      </c>
      <c r="J599">
        <v>58</v>
      </c>
      <c r="K599">
        <v>4</v>
      </c>
      <c r="L599" t="s">
        <v>881</v>
      </c>
      <c r="M599" s="10" t="s">
        <v>19</v>
      </c>
      <c r="N599" s="3" t="str" cm="1">
        <f t="array" ref="N599">_xlfn.IFS(
OR(ISNUMBER(SEARCH("email",D599)),ISNUMBER(SEARCH("email",F599)),ISNUMBER(SEARCH("polish",D599)),ISNUMBER(SEARCH("rewrite",F599)),ISNUMBER(SEARCH("copy",F599))),"Writing and comms",
OR(ISNUMBER(SEARCH("research",F599)),ISNUMBER(SEARCH("intel",F599)),ISNUMBER(SEARCH("company",D599)),ISNUMBER(SEARCH("digger",D599))),"Research and intel",
OR(ISNUMBER(SEARCH("prompt",D599)),ISNUMBER(SEARCH("prompt",F599))),"Prompting help",
OR(ISNUMBER(SEARCH("role",D599)),ISNUMBER(SEARCH("scorecard",F599)),ISNUMBER(SEARCH("competenc",F599))),"Role and leadership advisory",
OR(ISNUMBER(SEARCH("meeting",F599)),ISNUMBER(SEARCH("notes",F599)),ISNUMBER(SEARCH("summary",F599))),"Meeting notes and summarization",
TRUE,"Other or fragmented"
)</f>
        <v>Research and intel</v>
      </c>
      <c r="O599" s="3" t="s">
        <v>20</v>
      </c>
      <c r="P599" s="3"/>
    </row>
    <row r="600" spans="1:16" x14ac:dyDescent="0.25">
      <c r="A600" t="s">
        <v>15</v>
      </c>
      <c r="B600" s="1">
        <v>45992</v>
      </c>
      <c r="C600" s="1">
        <v>46022</v>
      </c>
      <c r="D600" t="s">
        <v>886</v>
      </c>
      <c r="E600" t="s">
        <v>17</v>
      </c>
      <c r="F600" t="s">
        <v>377</v>
      </c>
      <c r="G600">
        <v>1</v>
      </c>
      <c r="H600" s="1">
        <v>45992</v>
      </c>
      <c r="I600" s="1">
        <v>46020</v>
      </c>
      <c r="J600">
        <v>347</v>
      </c>
      <c r="K600">
        <v>3</v>
      </c>
      <c r="L600" t="s">
        <v>881</v>
      </c>
      <c r="M600" s="9" t="s">
        <v>19</v>
      </c>
      <c r="N600" s="3" t="str" cm="1">
        <f t="array" ref="N600">_xlfn.IFS(
OR(ISNUMBER(SEARCH("email",D600)),ISNUMBER(SEARCH("email",F600)),ISNUMBER(SEARCH("polish",D600)),ISNUMBER(SEARCH("rewrite",F600)),ISNUMBER(SEARCH("copy",F600))),"Writing and comms",
OR(ISNUMBER(SEARCH("research",F600)),ISNUMBER(SEARCH("intel",F600)),ISNUMBER(SEARCH("company",D600)),ISNUMBER(SEARCH("digger",D600))),"Research and intel",
OR(ISNUMBER(SEARCH("prompt",D600)),ISNUMBER(SEARCH("prompt",F600))),"Prompting help",
OR(ISNUMBER(SEARCH("role",D600)),ISNUMBER(SEARCH("scorecard",F600)),ISNUMBER(SEARCH("competenc",F600))),"Role and leadership advisory",
OR(ISNUMBER(SEARCH("meeting",F600)),ISNUMBER(SEARCH("notes",F600)),ISNUMBER(SEARCH("summary",F600))),"Meeting notes and summarization",
TRUE,"Other or fragmented"
)</f>
        <v>Research and intel</v>
      </c>
      <c r="O600" s="3" t="s">
        <v>20</v>
      </c>
      <c r="P600" s="3"/>
    </row>
    <row r="601" spans="1:16" x14ac:dyDescent="0.25">
      <c r="A601" t="s">
        <v>15</v>
      </c>
      <c r="B601" s="1">
        <v>45992</v>
      </c>
      <c r="C601" s="1">
        <v>46022</v>
      </c>
      <c r="D601" t="s">
        <v>887</v>
      </c>
      <c r="E601" t="s">
        <v>17</v>
      </c>
      <c r="F601" t="s">
        <v>380</v>
      </c>
      <c r="G601">
        <v>1</v>
      </c>
      <c r="H601" s="1">
        <v>45992</v>
      </c>
      <c r="I601" s="1">
        <v>46022</v>
      </c>
      <c r="J601">
        <v>402</v>
      </c>
      <c r="K601">
        <v>3</v>
      </c>
      <c r="L601" t="s">
        <v>881</v>
      </c>
      <c r="M601" s="10" t="s">
        <v>12</v>
      </c>
      <c r="N601" s="3" t="str" cm="1">
        <f t="array" ref="N601">_xlfn.IFS(
OR(ISNUMBER(SEARCH("email",D601)),ISNUMBER(SEARCH("email",F601)),ISNUMBER(SEARCH("polish",D601)),ISNUMBER(SEARCH("rewrite",F601)),ISNUMBER(SEARCH("copy",F601))),"Writing and comms",
OR(ISNUMBER(SEARCH("research",F601)),ISNUMBER(SEARCH("intel",F601)),ISNUMBER(SEARCH("company",D601)),ISNUMBER(SEARCH("digger",D601))),"Research and intel",
OR(ISNUMBER(SEARCH("prompt",D601)),ISNUMBER(SEARCH("prompt",F601))),"Prompting help",
OR(ISNUMBER(SEARCH("role",D601)),ISNUMBER(SEARCH("scorecard",F601)),ISNUMBER(SEARCH("competenc",F601))),"Role and leadership advisory",
OR(ISNUMBER(SEARCH("meeting",F601)),ISNUMBER(SEARCH("notes",F601)),ISNUMBER(SEARCH("summary",F601))),"Meeting notes and summarization",
TRUE,"Other or fragmented"
)</f>
        <v>Other or fragmented</v>
      </c>
      <c r="O601" s="3" t="s">
        <v>20</v>
      </c>
      <c r="P601" s="3"/>
    </row>
    <row r="602" spans="1:16" x14ac:dyDescent="0.25">
      <c r="A602" t="s">
        <v>15</v>
      </c>
      <c r="B602" s="1">
        <v>45992</v>
      </c>
      <c r="C602" s="1">
        <v>46022</v>
      </c>
      <c r="D602" t="s">
        <v>888</v>
      </c>
      <c r="E602" t="s">
        <v>17</v>
      </c>
      <c r="F602" t="s">
        <v>889</v>
      </c>
      <c r="G602">
        <v>1</v>
      </c>
      <c r="H602" s="1">
        <v>46008</v>
      </c>
      <c r="I602" s="1">
        <v>46008</v>
      </c>
      <c r="J602">
        <v>9</v>
      </c>
      <c r="K602">
        <v>2</v>
      </c>
      <c r="L602" t="s">
        <v>881</v>
      </c>
      <c r="M602" s="9" t="s">
        <v>19</v>
      </c>
      <c r="N602" s="3" t="str" cm="1">
        <f t="array" ref="N602">_xlfn.IFS(
OR(ISNUMBER(SEARCH("email",D602)),ISNUMBER(SEARCH("email",F602)),ISNUMBER(SEARCH("polish",D602)),ISNUMBER(SEARCH("rewrite",F602)),ISNUMBER(SEARCH("copy",F602))),"Writing and comms",
OR(ISNUMBER(SEARCH("research",F602)),ISNUMBER(SEARCH("intel",F602)),ISNUMBER(SEARCH("company",D602)),ISNUMBER(SEARCH("digger",D602))),"Research and intel",
OR(ISNUMBER(SEARCH("prompt",D602)),ISNUMBER(SEARCH("prompt",F602))),"Prompting help",
OR(ISNUMBER(SEARCH("role",D602)),ISNUMBER(SEARCH("scorecard",F602)),ISNUMBER(SEARCH("competenc",F602))),"Role and leadership advisory",
OR(ISNUMBER(SEARCH("meeting",F602)),ISNUMBER(SEARCH("notes",F602)),ISNUMBER(SEARCH("summary",F602))),"Meeting notes and summarization",
TRUE,"Other or fragmented"
)</f>
        <v>Other or fragmented</v>
      </c>
      <c r="O602" s="3" t="s">
        <v>20</v>
      </c>
      <c r="P602" s="3"/>
    </row>
    <row r="603" spans="1:16" x14ac:dyDescent="0.25">
      <c r="A603" t="s">
        <v>15</v>
      </c>
      <c r="B603" s="1">
        <v>45992</v>
      </c>
      <c r="C603" s="1">
        <v>46022</v>
      </c>
      <c r="D603" t="s">
        <v>890</v>
      </c>
      <c r="E603" t="s">
        <v>17</v>
      </c>
      <c r="F603" t="s">
        <v>891</v>
      </c>
      <c r="G603">
        <v>1</v>
      </c>
      <c r="H603" s="1">
        <v>46007</v>
      </c>
      <c r="I603" s="1">
        <v>46010</v>
      </c>
      <c r="J603">
        <v>96</v>
      </c>
      <c r="K603">
        <v>2</v>
      </c>
      <c r="L603" t="s">
        <v>881</v>
      </c>
      <c r="M603" s="10" t="s">
        <v>12</v>
      </c>
      <c r="N603" s="3" t="str" cm="1">
        <f t="array" ref="N603">_xlfn.IFS(
OR(ISNUMBER(SEARCH("email",D603)),ISNUMBER(SEARCH("email",F603)),ISNUMBER(SEARCH("polish",D603)),ISNUMBER(SEARCH("rewrite",F603)),ISNUMBER(SEARCH("copy",F603))),"Writing and comms",
OR(ISNUMBER(SEARCH("research",F603)),ISNUMBER(SEARCH("intel",F603)),ISNUMBER(SEARCH("company",D603)),ISNUMBER(SEARCH("digger",D603))),"Research and intel",
OR(ISNUMBER(SEARCH("prompt",D603)),ISNUMBER(SEARCH("prompt",F603))),"Prompting help",
OR(ISNUMBER(SEARCH("role",D603)),ISNUMBER(SEARCH("scorecard",F603)),ISNUMBER(SEARCH("competenc",F603))),"Role and leadership advisory",
OR(ISNUMBER(SEARCH("meeting",F603)),ISNUMBER(SEARCH("notes",F603)),ISNUMBER(SEARCH("summary",F603))),"Meeting notes and summarization",
TRUE,"Other or fragmented"
)</f>
        <v>Research and intel</v>
      </c>
      <c r="O603" s="3" t="s">
        <v>20</v>
      </c>
      <c r="P603" s="3"/>
    </row>
    <row r="604" spans="1:16" x14ac:dyDescent="0.25">
      <c r="A604" t="s">
        <v>15</v>
      </c>
      <c r="B604" s="1">
        <v>45992</v>
      </c>
      <c r="C604" s="1">
        <v>46022</v>
      </c>
      <c r="D604" t="s">
        <v>892</v>
      </c>
      <c r="E604" t="s">
        <v>17</v>
      </c>
      <c r="F604" t="s">
        <v>893</v>
      </c>
      <c r="G604">
        <v>1</v>
      </c>
      <c r="H604" s="1">
        <v>45996</v>
      </c>
      <c r="I604" s="1">
        <v>45996</v>
      </c>
      <c r="J604">
        <v>2</v>
      </c>
      <c r="K604">
        <v>1</v>
      </c>
      <c r="L604" t="s">
        <v>881</v>
      </c>
      <c r="M604" s="9" t="s">
        <v>19</v>
      </c>
      <c r="N604" s="3" t="str" cm="1">
        <f t="array" ref="N604">_xlfn.IFS(
OR(ISNUMBER(SEARCH("email",D604)),ISNUMBER(SEARCH("email",F604)),ISNUMBER(SEARCH("polish",D604)),ISNUMBER(SEARCH("rewrite",F604)),ISNUMBER(SEARCH("copy",F604))),"Writing and comms",
OR(ISNUMBER(SEARCH("research",F604)),ISNUMBER(SEARCH("intel",F604)),ISNUMBER(SEARCH("company",D604)),ISNUMBER(SEARCH("digger",D604))),"Research and intel",
OR(ISNUMBER(SEARCH("prompt",D604)),ISNUMBER(SEARCH("prompt",F604))),"Prompting help",
OR(ISNUMBER(SEARCH("role",D604)),ISNUMBER(SEARCH("scorecard",F604)),ISNUMBER(SEARCH("competenc",F604))),"Role and leadership advisory",
OR(ISNUMBER(SEARCH("meeting",F604)),ISNUMBER(SEARCH("notes",F604)),ISNUMBER(SEARCH("summary",F604))),"Meeting notes and summarization",
TRUE,"Other or fragmented"
)</f>
        <v>Other or fragmented</v>
      </c>
      <c r="O604" s="3" t="s">
        <v>20</v>
      </c>
      <c r="P604" s="3"/>
    </row>
    <row r="605" spans="1:16" x14ac:dyDescent="0.25">
      <c r="A605" t="s">
        <v>15</v>
      </c>
      <c r="B605" s="1">
        <v>45992</v>
      </c>
      <c r="C605" s="1">
        <v>46022</v>
      </c>
      <c r="D605" t="s">
        <v>894</v>
      </c>
      <c r="E605" t="s">
        <v>24</v>
      </c>
      <c r="G605">
        <v>0</v>
      </c>
      <c r="J605">
        <v>0</v>
      </c>
      <c r="K605">
        <v>0</v>
      </c>
      <c r="L605" t="s">
        <v>881</v>
      </c>
      <c r="M605" s="10" t="s">
        <v>19</v>
      </c>
      <c r="N605" s="3" t="str" cm="1">
        <f t="array" ref="N605">_xlfn.IFS(
OR(ISNUMBER(SEARCH("email",D605)),ISNUMBER(SEARCH("email",F605)),ISNUMBER(SEARCH("polish",D605)),ISNUMBER(SEARCH("rewrite",F605)),ISNUMBER(SEARCH("copy",F605))),"Writing and comms",
OR(ISNUMBER(SEARCH("research",F605)),ISNUMBER(SEARCH("intel",F605)),ISNUMBER(SEARCH("company",D605)),ISNUMBER(SEARCH("digger",D605))),"Research and intel",
OR(ISNUMBER(SEARCH("prompt",D605)),ISNUMBER(SEARCH("prompt",F605))),"Prompting help",
OR(ISNUMBER(SEARCH("role",D605)),ISNUMBER(SEARCH("scorecard",F605)),ISNUMBER(SEARCH("competenc",F605))),"Role and leadership advisory",
OR(ISNUMBER(SEARCH("meeting",F605)),ISNUMBER(SEARCH("notes",F605)),ISNUMBER(SEARCH("summary",F605))),"Meeting notes and summarization",
TRUE,"Other or fragmented"
)</f>
        <v>Other or fragmented</v>
      </c>
      <c r="O605" s="3" t="s">
        <v>20</v>
      </c>
      <c r="P605" s="3"/>
    </row>
    <row r="606" spans="1:16" x14ac:dyDescent="0.25">
      <c r="A606" t="s">
        <v>15</v>
      </c>
      <c r="B606" s="1">
        <v>45992</v>
      </c>
      <c r="C606" s="1">
        <v>46022</v>
      </c>
      <c r="D606" t="s">
        <v>895</v>
      </c>
      <c r="E606" t="s">
        <v>17</v>
      </c>
      <c r="F606" t="s">
        <v>896</v>
      </c>
      <c r="G606">
        <v>0</v>
      </c>
      <c r="J606">
        <v>0</v>
      </c>
      <c r="K606">
        <v>0</v>
      </c>
      <c r="L606" t="s">
        <v>881</v>
      </c>
      <c r="M606" s="9" t="s">
        <v>19</v>
      </c>
      <c r="N606" s="3" t="str" cm="1">
        <f t="array" ref="N606">_xlfn.IFS(
OR(ISNUMBER(SEARCH("email",D606)),ISNUMBER(SEARCH("email",F606)),ISNUMBER(SEARCH("polish",D606)),ISNUMBER(SEARCH("rewrite",F606)),ISNUMBER(SEARCH("copy",F606))),"Writing and comms",
OR(ISNUMBER(SEARCH("research",F606)),ISNUMBER(SEARCH("intel",F606)),ISNUMBER(SEARCH("company",D606)),ISNUMBER(SEARCH("digger",D606))),"Research and intel",
OR(ISNUMBER(SEARCH("prompt",D606)),ISNUMBER(SEARCH("prompt",F606))),"Prompting help",
OR(ISNUMBER(SEARCH("role",D606)),ISNUMBER(SEARCH("scorecard",F606)),ISNUMBER(SEARCH("competenc",F606))),"Role and leadership advisory",
OR(ISNUMBER(SEARCH("meeting",F606)),ISNUMBER(SEARCH("notes",F606)),ISNUMBER(SEARCH("summary",F606))),"Meeting notes and summarization",
TRUE,"Other or fragmented"
)</f>
        <v>Other or fragmented</v>
      </c>
      <c r="O606" s="3" t="s">
        <v>20</v>
      </c>
      <c r="P606" s="3"/>
    </row>
    <row r="607" spans="1:16" x14ac:dyDescent="0.25">
      <c r="A607" t="s">
        <v>15</v>
      </c>
      <c r="B607" s="1">
        <v>45992</v>
      </c>
      <c r="C607" s="1">
        <v>46022</v>
      </c>
      <c r="D607" t="s">
        <v>897</v>
      </c>
      <c r="E607" t="s">
        <v>24</v>
      </c>
      <c r="G607">
        <v>0</v>
      </c>
      <c r="J607">
        <v>0</v>
      </c>
      <c r="K607">
        <v>0</v>
      </c>
      <c r="L607" t="s">
        <v>881</v>
      </c>
      <c r="M607" s="10" t="s">
        <v>19</v>
      </c>
      <c r="N607" s="3" t="str" cm="1">
        <f t="array" ref="N607">_xlfn.IFS(
OR(ISNUMBER(SEARCH("email",D607)),ISNUMBER(SEARCH("email",F607)),ISNUMBER(SEARCH("polish",D607)),ISNUMBER(SEARCH("rewrite",F607)),ISNUMBER(SEARCH("copy",F607))),"Writing and comms",
OR(ISNUMBER(SEARCH("research",F607)),ISNUMBER(SEARCH("intel",F607)),ISNUMBER(SEARCH("company",D607)),ISNUMBER(SEARCH("digger",D607))),"Research and intel",
OR(ISNUMBER(SEARCH("prompt",D607)),ISNUMBER(SEARCH("prompt",F607))),"Prompting help",
OR(ISNUMBER(SEARCH("role",D607)),ISNUMBER(SEARCH("scorecard",F607)),ISNUMBER(SEARCH("competenc",F607))),"Role and leadership advisory",
OR(ISNUMBER(SEARCH("meeting",F607)),ISNUMBER(SEARCH("notes",F607)),ISNUMBER(SEARCH("summary",F607))),"Meeting notes and summarization",
TRUE,"Other or fragmented"
)</f>
        <v>Other or fragmented</v>
      </c>
      <c r="O607" s="3" t="s">
        <v>20</v>
      </c>
      <c r="P607" s="3"/>
    </row>
    <row r="608" spans="1:16" x14ac:dyDescent="0.25">
      <c r="A608" t="s">
        <v>15</v>
      </c>
      <c r="B608" s="1">
        <v>45992</v>
      </c>
      <c r="C608" s="1">
        <v>46022</v>
      </c>
      <c r="D608" t="s">
        <v>898</v>
      </c>
      <c r="E608" t="s">
        <v>17</v>
      </c>
      <c r="G608">
        <v>0</v>
      </c>
      <c r="J608">
        <v>0</v>
      </c>
      <c r="K608">
        <v>0</v>
      </c>
      <c r="L608" t="s">
        <v>881</v>
      </c>
      <c r="M608" s="9" t="s">
        <v>19</v>
      </c>
      <c r="N608" s="3" t="str" cm="1">
        <f t="array" ref="N608">_xlfn.IFS(
OR(ISNUMBER(SEARCH("email",D608)),ISNUMBER(SEARCH("email",F608)),ISNUMBER(SEARCH("polish",D608)),ISNUMBER(SEARCH("rewrite",F608)),ISNUMBER(SEARCH("copy",F608))),"Writing and comms",
OR(ISNUMBER(SEARCH("research",F608)),ISNUMBER(SEARCH("intel",F608)),ISNUMBER(SEARCH("company",D608)),ISNUMBER(SEARCH("digger",D608))),"Research and intel",
OR(ISNUMBER(SEARCH("prompt",D608)),ISNUMBER(SEARCH("prompt",F608))),"Prompting help",
OR(ISNUMBER(SEARCH("role",D608)),ISNUMBER(SEARCH("scorecard",F608)),ISNUMBER(SEARCH("competenc",F608))),"Role and leadership advisory",
OR(ISNUMBER(SEARCH("meeting",F608)),ISNUMBER(SEARCH("notes",F608)),ISNUMBER(SEARCH("summary",F608))),"Meeting notes and summarization",
TRUE,"Other or fragmented"
)</f>
        <v>Research and intel</v>
      </c>
      <c r="O608" s="3" t="s">
        <v>20</v>
      </c>
      <c r="P608" s="3"/>
    </row>
    <row r="609" spans="1:16" x14ac:dyDescent="0.25">
      <c r="A609" t="s">
        <v>15</v>
      </c>
      <c r="B609" s="1">
        <v>45992</v>
      </c>
      <c r="C609" s="1">
        <v>46022</v>
      </c>
      <c r="D609" t="s">
        <v>899</v>
      </c>
      <c r="E609" t="s">
        <v>17</v>
      </c>
      <c r="F609" t="s">
        <v>896</v>
      </c>
      <c r="G609">
        <v>0</v>
      </c>
      <c r="J609">
        <v>0</v>
      </c>
      <c r="K609">
        <v>0</v>
      </c>
      <c r="L609" t="s">
        <v>881</v>
      </c>
      <c r="M609" s="10" t="s">
        <v>19</v>
      </c>
      <c r="N609" s="3" t="str" cm="1">
        <f t="array" ref="N609">_xlfn.IFS(
OR(ISNUMBER(SEARCH("email",D609)),ISNUMBER(SEARCH("email",F609)),ISNUMBER(SEARCH("polish",D609)),ISNUMBER(SEARCH("rewrite",F609)),ISNUMBER(SEARCH("copy",F609))),"Writing and comms",
OR(ISNUMBER(SEARCH("research",F609)),ISNUMBER(SEARCH("intel",F609)),ISNUMBER(SEARCH("company",D609)),ISNUMBER(SEARCH("digger",D609))),"Research and intel",
OR(ISNUMBER(SEARCH("prompt",D609)),ISNUMBER(SEARCH("prompt",F609))),"Prompting help",
OR(ISNUMBER(SEARCH("role",D609)),ISNUMBER(SEARCH("scorecard",F609)),ISNUMBER(SEARCH("competenc",F609))),"Role and leadership advisory",
OR(ISNUMBER(SEARCH("meeting",F609)),ISNUMBER(SEARCH("notes",F609)),ISNUMBER(SEARCH("summary",F609))),"Meeting notes and summarization",
TRUE,"Other or fragmented"
)</f>
        <v>Other or fragmented</v>
      </c>
      <c r="O609" s="3" t="s">
        <v>20</v>
      </c>
      <c r="P609" s="3"/>
    </row>
    <row r="610" spans="1:16" x14ac:dyDescent="0.25">
      <c r="A610" t="s">
        <v>15</v>
      </c>
      <c r="B610" s="1">
        <v>45992</v>
      </c>
      <c r="C610" s="1">
        <v>46022</v>
      </c>
      <c r="D610" t="s">
        <v>900</v>
      </c>
      <c r="E610" t="s">
        <v>24</v>
      </c>
      <c r="G610">
        <v>0</v>
      </c>
      <c r="J610">
        <v>0</v>
      </c>
      <c r="K610">
        <v>0</v>
      </c>
      <c r="L610" t="s">
        <v>881</v>
      </c>
      <c r="M610" s="9" t="s">
        <v>19</v>
      </c>
      <c r="N610" s="3" t="str" cm="1">
        <f t="array" ref="N610">_xlfn.IFS(
OR(ISNUMBER(SEARCH("email",D610)),ISNUMBER(SEARCH("email",F610)),ISNUMBER(SEARCH("polish",D610)),ISNUMBER(SEARCH("rewrite",F610)),ISNUMBER(SEARCH("copy",F610))),"Writing and comms",
OR(ISNUMBER(SEARCH("research",F610)),ISNUMBER(SEARCH("intel",F610)),ISNUMBER(SEARCH("company",D610)),ISNUMBER(SEARCH("digger",D610))),"Research and intel",
OR(ISNUMBER(SEARCH("prompt",D610)),ISNUMBER(SEARCH("prompt",F610))),"Prompting help",
OR(ISNUMBER(SEARCH("role",D610)),ISNUMBER(SEARCH("scorecard",F610)),ISNUMBER(SEARCH("competenc",F610))),"Role and leadership advisory",
OR(ISNUMBER(SEARCH("meeting",F610)),ISNUMBER(SEARCH("notes",F610)),ISNUMBER(SEARCH("summary",F610))),"Meeting notes and summarization",
TRUE,"Other or fragmented"
)</f>
        <v>Other or fragmented</v>
      </c>
      <c r="O610" s="3" t="s">
        <v>20</v>
      </c>
      <c r="P610" s="3"/>
    </row>
    <row r="611" spans="1:16" x14ac:dyDescent="0.25">
      <c r="A611" t="s">
        <v>15</v>
      </c>
      <c r="B611" s="1">
        <v>45992</v>
      </c>
      <c r="C611" s="1">
        <v>46022</v>
      </c>
      <c r="D611" t="s">
        <v>393</v>
      </c>
      <c r="E611" t="s">
        <v>24</v>
      </c>
      <c r="F611" t="s">
        <v>377</v>
      </c>
      <c r="G611">
        <v>0</v>
      </c>
      <c r="J611">
        <v>0</v>
      </c>
      <c r="K611">
        <v>0</v>
      </c>
      <c r="L611" t="s">
        <v>881</v>
      </c>
      <c r="M611" s="10" t="s">
        <v>19</v>
      </c>
      <c r="N611" s="3" t="str" cm="1">
        <f t="array" ref="N611">_xlfn.IFS(
OR(ISNUMBER(SEARCH("email",D611)),ISNUMBER(SEARCH("email",F611)),ISNUMBER(SEARCH("polish",D611)),ISNUMBER(SEARCH("rewrite",F611)),ISNUMBER(SEARCH("copy",F611))),"Writing and comms",
OR(ISNUMBER(SEARCH("research",F611)),ISNUMBER(SEARCH("intel",F611)),ISNUMBER(SEARCH("company",D611)),ISNUMBER(SEARCH("digger",D611))),"Research and intel",
OR(ISNUMBER(SEARCH("prompt",D611)),ISNUMBER(SEARCH("prompt",F611))),"Prompting help",
OR(ISNUMBER(SEARCH("role",D611)),ISNUMBER(SEARCH("scorecard",F611)),ISNUMBER(SEARCH("competenc",F611))),"Role and leadership advisory",
OR(ISNUMBER(SEARCH("meeting",F611)),ISNUMBER(SEARCH("notes",F611)),ISNUMBER(SEARCH("summary",F611))),"Meeting notes and summarization",
TRUE,"Other or fragmented"
)</f>
        <v>Research and intel</v>
      </c>
      <c r="O611" s="3" t="s">
        <v>20</v>
      </c>
      <c r="P611" s="3"/>
    </row>
    <row r="612" spans="1:16" x14ac:dyDescent="0.25">
      <c r="A612" t="s">
        <v>15</v>
      </c>
      <c r="B612" s="1">
        <v>45992</v>
      </c>
      <c r="C612" s="1">
        <v>46022</v>
      </c>
      <c r="D612" t="s">
        <v>894</v>
      </c>
      <c r="E612" t="s">
        <v>17</v>
      </c>
      <c r="G612">
        <v>0</v>
      </c>
      <c r="J612">
        <v>0</v>
      </c>
      <c r="K612">
        <v>0</v>
      </c>
      <c r="L612" t="s">
        <v>881</v>
      </c>
      <c r="M612" s="9" t="s">
        <v>19</v>
      </c>
      <c r="N612" s="3" t="str" cm="1">
        <f t="array" ref="N612">_xlfn.IFS(
OR(ISNUMBER(SEARCH("email",D612)),ISNUMBER(SEARCH("email",F612)),ISNUMBER(SEARCH("polish",D612)),ISNUMBER(SEARCH("rewrite",F612)),ISNUMBER(SEARCH("copy",F612))),"Writing and comms",
OR(ISNUMBER(SEARCH("research",F612)),ISNUMBER(SEARCH("intel",F612)),ISNUMBER(SEARCH("company",D612)),ISNUMBER(SEARCH("digger",D612))),"Research and intel",
OR(ISNUMBER(SEARCH("prompt",D612)),ISNUMBER(SEARCH("prompt",F612))),"Prompting help",
OR(ISNUMBER(SEARCH("role",D612)),ISNUMBER(SEARCH("scorecard",F612)),ISNUMBER(SEARCH("competenc",F612))),"Role and leadership advisory",
OR(ISNUMBER(SEARCH("meeting",F612)),ISNUMBER(SEARCH("notes",F612)),ISNUMBER(SEARCH("summary",F612))),"Meeting notes and summarization",
TRUE,"Other or fragmented"
)</f>
        <v>Other or fragmented</v>
      </c>
      <c r="O612" s="3" t="s">
        <v>20</v>
      </c>
      <c r="P612" s="3"/>
    </row>
    <row r="613" spans="1:16" x14ac:dyDescent="0.25">
      <c r="A613" t="s">
        <v>15</v>
      </c>
      <c r="B613" s="1">
        <v>45992</v>
      </c>
      <c r="C613" s="1">
        <v>46022</v>
      </c>
      <c r="D613" t="s">
        <v>901</v>
      </c>
      <c r="E613" t="s">
        <v>17</v>
      </c>
      <c r="G613">
        <v>0</v>
      </c>
      <c r="J613">
        <v>0</v>
      </c>
      <c r="K613">
        <v>0</v>
      </c>
      <c r="L613" t="s">
        <v>881</v>
      </c>
      <c r="M613" s="10" t="s">
        <v>19</v>
      </c>
      <c r="N613" s="3" t="str" cm="1">
        <f t="array" ref="N613">_xlfn.IFS(
OR(ISNUMBER(SEARCH("email",D613)),ISNUMBER(SEARCH("email",F613)),ISNUMBER(SEARCH("polish",D613)),ISNUMBER(SEARCH("rewrite",F613)),ISNUMBER(SEARCH("copy",F613))),"Writing and comms",
OR(ISNUMBER(SEARCH("research",F613)),ISNUMBER(SEARCH("intel",F613)),ISNUMBER(SEARCH("company",D613)),ISNUMBER(SEARCH("digger",D613))),"Research and intel",
OR(ISNUMBER(SEARCH("prompt",D613)),ISNUMBER(SEARCH("prompt",F613))),"Prompting help",
OR(ISNUMBER(SEARCH("role",D613)),ISNUMBER(SEARCH("scorecard",F613)),ISNUMBER(SEARCH("competenc",F613))),"Role and leadership advisory",
OR(ISNUMBER(SEARCH("meeting",F613)),ISNUMBER(SEARCH("notes",F613)),ISNUMBER(SEARCH("summary",F613))),"Meeting notes and summarization",
TRUE,"Other or fragmented"
)</f>
        <v>Other or fragmented</v>
      </c>
      <c r="O613" s="3" t="s">
        <v>20</v>
      </c>
      <c r="P613" s="3"/>
    </row>
    <row r="614" spans="1:16" x14ac:dyDescent="0.25">
      <c r="A614" t="s">
        <v>15</v>
      </c>
      <c r="B614" s="1">
        <v>45992</v>
      </c>
      <c r="C614" s="1">
        <v>46022</v>
      </c>
      <c r="E614" t="s">
        <v>24</v>
      </c>
      <c r="G614">
        <v>0</v>
      </c>
      <c r="J614">
        <v>0</v>
      </c>
      <c r="K614">
        <v>0</v>
      </c>
      <c r="L614" t="s">
        <v>902</v>
      </c>
      <c r="M614" s="9" t="s">
        <v>19</v>
      </c>
      <c r="N614" s="3" t="str" cm="1">
        <f t="array" ref="N614">_xlfn.IFS(
OR(ISNUMBER(SEARCH("email",D614)),ISNUMBER(SEARCH("email",F614)),ISNUMBER(SEARCH("polish",D614)),ISNUMBER(SEARCH("rewrite",F614)),ISNUMBER(SEARCH("copy",F614))),"Writing and comms",
OR(ISNUMBER(SEARCH("research",F614)),ISNUMBER(SEARCH("intel",F614)),ISNUMBER(SEARCH("company",D614)),ISNUMBER(SEARCH("digger",D614))),"Research and intel",
OR(ISNUMBER(SEARCH("prompt",D614)),ISNUMBER(SEARCH("prompt",F614))),"Prompting help",
OR(ISNUMBER(SEARCH("role",D614)),ISNUMBER(SEARCH("scorecard",F614)),ISNUMBER(SEARCH("competenc",F614))),"Role and leadership advisory",
OR(ISNUMBER(SEARCH("meeting",F614)),ISNUMBER(SEARCH("notes",F614)),ISNUMBER(SEARCH("summary",F614))),"Meeting notes and summarization",
TRUE,"Other or fragmented"
)</f>
        <v>Other or fragmented</v>
      </c>
      <c r="O614" s="3" t="s">
        <v>20</v>
      </c>
      <c r="P614" s="3"/>
    </row>
    <row r="615" spans="1:16" x14ac:dyDescent="0.25">
      <c r="A615" t="s">
        <v>15</v>
      </c>
      <c r="B615" s="1">
        <v>45992</v>
      </c>
      <c r="C615" s="1">
        <v>46022</v>
      </c>
      <c r="E615" t="s">
        <v>24</v>
      </c>
      <c r="G615">
        <v>0</v>
      </c>
      <c r="J615">
        <v>0</v>
      </c>
      <c r="K615">
        <v>0</v>
      </c>
      <c r="L615" t="s">
        <v>902</v>
      </c>
      <c r="M615" s="10" t="s">
        <v>19</v>
      </c>
      <c r="N615" s="3" t="str" cm="1">
        <f t="array" ref="N615">_xlfn.IFS(
OR(ISNUMBER(SEARCH("email",D615)),ISNUMBER(SEARCH("email",F615)),ISNUMBER(SEARCH("polish",D615)),ISNUMBER(SEARCH("rewrite",F615)),ISNUMBER(SEARCH("copy",F615))),"Writing and comms",
OR(ISNUMBER(SEARCH("research",F615)),ISNUMBER(SEARCH("intel",F615)),ISNUMBER(SEARCH("company",D615)),ISNUMBER(SEARCH("digger",D615))),"Research and intel",
OR(ISNUMBER(SEARCH("prompt",D615)),ISNUMBER(SEARCH("prompt",F615))),"Prompting help",
OR(ISNUMBER(SEARCH("role",D615)),ISNUMBER(SEARCH("scorecard",F615)),ISNUMBER(SEARCH("competenc",F615))),"Role and leadership advisory",
OR(ISNUMBER(SEARCH("meeting",F615)),ISNUMBER(SEARCH("notes",F615)),ISNUMBER(SEARCH("summary",F615))),"Meeting notes and summarization",
TRUE,"Other or fragmented"
)</f>
        <v>Other or fragmented</v>
      </c>
      <c r="O615" s="3" t="s">
        <v>20</v>
      </c>
      <c r="P615" s="3"/>
    </row>
    <row r="616" spans="1:16" x14ac:dyDescent="0.25">
      <c r="A616" t="s">
        <v>15</v>
      </c>
      <c r="B616" s="1">
        <v>45992</v>
      </c>
      <c r="C616" s="1">
        <v>46022</v>
      </c>
      <c r="E616" t="s">
        <v>24</v>
      </c>
      <c r="G616">
        <v>0</v>
      </c>
      <c r="J616">
        <v>0</v>
      </c>
      <c r="K616">
        <v>0</v>
      </c>
      <c r="L616" t="s">
        <v>903</v>
      </c>
      <c r="M616" s="9" t="s">
        <v>19</v>
      </c>
      <c r="N616" s="3" t="str" cm="1">
        <f t="array" ref="N616">_xlfn.IFS(
OR(ISNUMBER(SEARCH("email",D616)),ISNUMBER(SEARCH("email",F616)),ISNUMBER(SEARCH("polish",D616)),ISNUMBER(SEARCH("rewrite",F616)),ISNUMBER(SEARCH("copy",F616))),"Writing and comms",
OR(ISNUMBER(SEARCH("research",F616)),ISNUMBER(SEARCH("intel",F616)),ISNUMBER(SEARCH("company",D616)),ISNUMBER(SEARCH("digger",D616))),"Research and intel",
OR(ISNUMBER(SEARCH("prompt",D616)),ISNUMBER(SEARCH("prompt",F616))),"Prompting help",
OR(ISNUMBER(SEARCH("role",D616)),ISNUMBER(SEARCH("scorecard",F616)),ISNUMBER(SEARCH("competenc",F616))),"Role and leadership advisory",
OR(ISNUMBER(SEARCH("meeting",F616)),ISNUMBER(SEARCH("notes",F616)),ISNUMBER(SEARCH("summary",F616))),"Meeting notes and summarization",
TRUE,"Other or fragmented"
)</f>
        <v>Other or fragmented</v>
      </c>
      <c r="O616" s="3" t="s">
        <v>20</v>
      </c>
      <c r="P616" s="3"/>
    </row>
    <row r="617" spans="1:16" x14ac:dyDescent="0.25">
      <c r="A617" t="s">
        <v>15</v>
      </c>
      <c r="B617" s="1">
        <v>45992</v>
      </c>
      <c r="C617" s="1">
        <v>46022</v>
      </c>
      <c r="D617" t="s">
        <v>904</v>
      </c>
      <c r="E617" t="s">
        <v>24</v>
      </c>
      <c r="F617" t="s">
        <v>905</v>
      </c>
      <c r="G617">
        <v>1</v>
      </c>
      <c r="H617" s="1">
        <v>46003</v>
      </c>
      <c r="I617" s="1">
        <v>46007</v>
      </c>
      <c r="J617">
        <v>35</v>
      </c>
      <c r="K617">
        <v>1</v>
      </c>
      <c r="L617" t="s">
        <v>906</v>
      </c>
      <c r="M617" s="10" t="s">
        <v>19</v>
      </c>
      <c r="N617" s="3" t="str" cm="1">
        <f t="array" ref="N617">_xlfn.IFS(
OR(ISNUMBER(SEARCH("email",D617)),ISNUMBER(SEARCH("email",F617)),ISNUMBER(SEARCH("polish",D617)),ISNUMBER(SEARCH("rewrite",F617)),ISNUMBER(SEARCH("copy",F617))),"Writing and comms",
OR(ISNUMBER(SEARCH("research",F617)),ISNUMBER(SEARCH("intel",F617)),ISNUMBER(SEARCH("company",D617)),ISNUMBER(SEARCH("digger",D617))),"Research and intel",
OR(ISNUMBER(SEARCH("prompt",D617)),ISNUMBER(SEARCH("prompt",F617))),"Prompting help",
OR(ISNUMBER(SEARCH("role",D617)),ISNUMBER(SEARCH("scorecard",F617)),ISNUMBER(SEARCH("competenc",F617))),"Role and leadership advisory",
OR(ISNUMBER(SEARCH("meeting",F617)),ISNUMBER(SEARCH("notes",F617)),ISNUMBER(SEARCH("summary",F617))),"Meeting notes and summarization",
TRUE,"Other or fragmented"
)</f>
        <v>Other or fragmented</v>
      </c>
      <c r="O617" s="3" t="s">
        <v>20</v>
      </c>
      <c r="P617" s="3"/>
    </row>
    <row r="618" spans="1:16" x14ac:dyDescent="0.25">
      <c r="A618" t="s">
        <v>15</v>
      </c>
      <c r="B618" s="1">
        <v>45992</v>
      </c>
      <c r="C618" s="1">
        <v>46022</v>
      </c>
      <c r="E618" t="s">
        <v>24</v>
      </c>
      <c r="G618">
        <v>0</v>
      </c>
      <c r="J618">
        <v>0</v>
      </c>
      <c r="K618">
        <v>0</v>
      </c>
      <c r="L618" t="s">
        <v>906</v>
      </c>
      <c r="M618" s="9" t="s">
        <v>19</v>
      </c>
      <c r="N618" s="3" t="str" cm="1">
        <f t="array" ref="N618">_xlfn.IFS(
OR(ISNUMBER(SEARCH("email",D618)),ISNUMBER(SEARCH("email",F618)),ISNUMBER(SEARCH("polish",D618)),ISNUMBER(SEARCH("rewrite",F618)),ISNUMBER(SEARCH("copy",F618))),"Writing and comms",
OR(ISNUMBER(SEARCH("research",F618)),ISNUMBER(SEARCH("intel",F618)),ISNUMBER(SEARCH("company",D618)),ISNUMBER(SEARCH("digger",D618))),"Research and intel",
OR(ISNUMBER(SEARCH("prompt",D618)),ISNUMBER(SEARCH("prompt",F618))),"Prompting help",
OR(ISNUMBER(SEARCH("role",D618)),ISNUMBER(SEARCH("scorecard",F618)),ISNUMBER(SEARCH("competenc",F618))),"Role and leadership advisory",
OR(ISNUMBER(SEARCH("meeting",F618)),ISNUMBER(SEARCH("notes",F618)),ISNUMBER(SEARCH("summary",F618))),"Meeting notes and summarization",
TRUE,"Other or fragmented"
)</f>
        <v>Other or fragmented</v>
      </c>
      <c r="O618" s="3" t="s">
        <v>20</v>
      </c>
      <c r="P618" s="3"/>
    </row>
    <row r="619" spans="1:16" x14ac:dyDescent="0.25">
      <c r="A619" t="s">
        <v>15</v>
      </c>
      <c r="B619" s="1">
        <v>45992</v>
      </c>
      <c r="C619" s="1">
        <v>46022</v>
      </c>
      <c r="E619" t="s">
        <v>24</v>
      </c>
      <c r="G619">
        <v>0</v>
      </c>
      <c r="J619">
        <v>0</v>
      </c>
      <c r="K619">
        <v>0</v>
      </c>
      <c r="L619" t="s">
        <v>906</v>
      </c>
      <c r="M619" s="10" t="s">
        <v>19</v>
      </c>
      <c r="N619" s="3" t="str" cm="1">
        <f t="array" ref="N619">_xlfn.IFS(
OR(ISNUMBER(SEARCH("email",D619)),ISNUMBER(SEARCH("email",F619)),ISNUMBER(SEARCH("polish",D619)),ISNUMBER(SEARCH("rewrite",F619)),ISNUMBER(SEARCH("copy",F619))),"Writing and comms",
OR(ISNUMBER(SEARCH("research",F619)),ISNUMBER(SEARCH("intel",F619)),ISNUMBER(SEARCH("company",D619)),ISNUMBER(SEARCH("digger",D619))),"Research and intel",
OR(ISNUMBER(SEARCH("prompt",D619)),ISNUMBER(SEARCH("prompt",F619))),"Prompting help",
OR(ISNUMBER(SEARCH("role",D619)),ISNUMBER(SEARCH("scorecard",F619)),ISNUMBER(SEARCH("competenc",F619))),"Role and leadership advisory",
OR(ISNUMBER(SEARCH("meeting",F619)),ISNUMBER(SEARCH("notes",F619)),ISNUMBER(SEARCH("summary",F619))),"Meeting notes and summarization",
TRUE,"Other or fragmented"
)</f>
        <v>Other or fragmented</v>
      </c>
      <c r="O619" s="3" t="s">
        <v>20</v>
      </c>
      <c r="P619" s="3"/>
    </row>
    <row r="620" spans="1:16" x14ac:dyDescent="0.25">
      <c r="A620" t="s">
        <v>15</v>
      </c>
      <c r="B620" s="1">
        <v>45992</v>
      </c>
      <c r="C620" s="1">
        <v>46022</v>
      </c>
      <c r="E620" t="s">
        <v>24</v>
      </c>
      <c r="G620">
        <v>0</v>
      </c>
      <c r="J620">
        <v>0</v>
      </c>
      <c r="K620">
        <v>0</v>
      </c>
      <c r="L620" t="s">
        <v>906</v>
      </c>
      <c r="M620" s="9" t="s">
        <v>19</v>
      </c>
      <c r="N620" s="3" t="str" cm="1">
        <f t="array" ref="N620">_xlfn.IFS(
OR(ISNUMBER(SEARCH("email",D620)),ISNUMBER(SEARCH("email",F620)),ISNUMBER(SEARCH("polish",D620)),ISNUMBER(SEARCH("rewrite",F620)),ISNUMBER(SEARCH("copy",F620))),"Writing and comms",
OR(ISNUMBER(SEARCH("research",F620)),ISNUMBER(SEARCH("intel",F620)),ISNUMBER(SEARCH("company",D620)),ISNUMBER(SEARCH("digger",D620))),"Research and intel",
OR(ISNUMBER(SEARCH("prompt",D620)),ISNUMBER(SEARCH("prompt",F620))),"Prompting help",
OR(ISNUMBER(SEARCH("role",D620)),ISNUMBER(SEARCH("scorecard",F620)),ISNUMBER(SEARCH("competenc",F620))),"Role and leadership advisory",
OR(ISNUMBER(SEARCH("meeting",F620)),ISNUMBER(SEARCH("notes",F620)),ISNUMBER(SEARCH("summary",F620))),"Meeting notes and summarization",
TRUE,"Other or fragmented"
)</f>
        <v>Other or fragmented</v>
      </c>
      <c r="O620" s="3" t="s">
        <v>20</v>
      </c>
      <c r="P620" s="3"/>
    </row>
    <row r="621" spans="1:16" x14ac:dyDescent="0.25">
      <c r="A621" t="s">
        <v>15</v>
      </c>
      <c r="B621" s="1">
        <v>45992</v>
      </c>
      <c r="C621" s="1">
        <v>46022</v>
      </c>
      <c r="D621" t="s">
        <v>907</v>
      </c>
      <c r="E621" t="s">
        <v>17</v>
      </c>
      <c r="G621">
        <v>0</v>
      </c>
      <c r="J621">
        <v>0</v>
      </c>
      <c r="K621">
        <v>0</v>
      </c>
      <c r="L621" t="s">
        <v>908</v>
      </c>
      <c r="M621" s="10" t="s">
        <v>19</v>
      </c>
      <c r="N621" s="3" t="str" cm="1">
        <f t="array" ref="N621">_xlfn.IFS(
OR(ISNUMBER(SEARCH("email",D621)),ISNUMBER(SEARCH("email",F621)),ISNUMBER(SEARCH("polish",D621)),ISNUMBER(SEARCH("rewrite",F621)),ISNUMBER(SEARCH("copy",F621))),"Writing and comms",
OR(ISNUMBER(SEARCH("research",F621)),ISNUMBER(SEARCH("intel",F621)),ISNUMBER(SEARCH("company",D621)),ISNUMBER(SEARCH("digger",D621))),"Research and intel",
OR(ISNUMBER(SEARCH("prompt",D621)),ISNUMBER(SEARCH("prompt",F621))),"Prompting help",
OR(ISNUMBER(SEARCH("role",D621)),ISNUMBER(SEARCH("scorecard",F621)),ISNUMBER(SEARCH("competenc",F621))),"Role and leadership advisory",
OR(ISNUMBER(SEARCH("meeting",F621)),ISNUMBER(SEARCH("notes",F621)),ISNUMBER(SEARCH("summary",F621))),"Meeting notes and summarization",
TRUE,"Other or fragmented"
)</f>
        <v>Other or fragmented</v>
      </c>
      <c r="O621" s="3" t="s">
        <v>20</v>
      </c>
      <c r="P621" s="3"/>
    </row>
    <row r="622" spans="1:16" x14ac:dyDescent="0.25">
      <c r="A622" t="s">
        <v>15</v>
      </c>
      <c r="B622" s="1">
        <v>45992</v>
      </c>
      <c r="C622" s="1">
        <v>46022</v>
      </c>
      <c r="D622" t="s">
        <v>909</v>
      </c>
      <c r="E622" t="s">
        <v>17</v>
      </c>
      <c r="G622">
        <v>0</v>
      </c>
      <c r="J622">
        <v>0</v>
      </c>
      <c r="K622">
        <v>0</v>
      </c>
      <c r="L622" t="s">
        <v>908</v>
      </c>
      <c r="M622" s="9" t="s">
        <v>19</v>
      </c>
      <c r="N622" s="3" t="str" cm="1">
        <f t="array" ref="N622">_xlfn.IFS(
OR(ISNUMBER(SEARCH("email",D622)),ISNUMBER(SEARCH("email",F622)),ISNUMBER(SEARCH("polish",D622)),ISNUMBER(SEARCH("rewrite",F622)),ISNUMBER(SEARCH("copy",F622))),"Writing and comms",
OR(ISNUMBER(SEARCH("research",F622)),ISNUMBER(SEARCH("intel",F622)),ISNUMBER(SEARCH("company",D622)),ISNUMBER(SEARCH("digger",D622))),"Research and intel",
OR(ISNUMBER(SEARCH("prompt",D622)),ISNUMBER(SEARCH("prompt",F622))),"Prompting help",
OR(ISNUMBER(SEARCH("role",D622)),ISNUMBER(SEARCH("scorecard",F622)),ISNUMBER(SEARCH("competenc",F622))),"Role and leadership advisory",
OR(ISNUMBER(SEARCH("meeting",F622)),ISNUMBER(SEARCH("notes",F622)),ISNUMBER(SEARCH("summary",F622))),"Meeting notes and summarization",
TRUE,"Other or fragmented"
)</f>
        <v>Other or fragmented</v>
      </c>
      <c r="O622" s="3" t="s">
        <v>20</v>
      </c>
      <c r="P622" s="3"/>
    </row>
    <row r="623" spans="1:16" x14ac:dyDescent="0.25">
      <c r="A623" t="s">
        <v>15</v>
      </c>
      <c r="B623" s="1">
        <v>45992</v>
      </c>
      <c r="C623" s="1">
        <v>46022</v>
      </c>
      <c r="E623" t="s">
        <v>24</v>
      </c>
      <c r="G623">
        <v>0</v>
      </c>
      <c r="J623">
        <v>0</v>
      </c>
      <c r="K623">
        <v>0</v>
      </c>
      <c r="L623" t="s">
        <v>908</v>
      </c>
      <c r="M623" s="10" t="s">
        <v>19</v>
      </c>
      <c r="N623" s="3" t="str" cm="1">
        <f t="array" ref="N623">_xlfn.IFS(
OR(ISNUMBER(SEARCH("email",D623)),ISNUMBER(SEARCH("email",F623)),ISNUMBER(SEARCH("polish",D623)),ISNUMBER(SEARCH("rewrite",F623)),ISNUMBER(SEARCH("copy",F623))),"Writing and comms",
OR(ISNUMBER(SEARCH("research",F623)),ISNUMBER(SEARCH("intel",F623)),ISNUMBER(SEARCH("company",D623)),ISNUMBER(SEARCH("digger",D623))),"Research and intel",
OR(ISNUMBER(SEARCH("prompt",D623)),ISNUMBER(SEARCH("prompt",F623))),"Prompting help",
OR(ISNUMBER(SEARCH("role",D623)),ISNUMBER(SEARCH("scorecard",F623)),ISNUMBER(SEARCH("competenc",F623))),"Role and leadership advisory",
OR(ISNUMBER(SEARCH("meeting",F623)),ISNUMBER(SEARCH("notes",F623)),ISNUMBER(SEARCH("summary",F623))),"Meeting notes and summarization",
TRUE,"Other or fragmented"
)</f>
        <v>Other or fragmented</v>
      </c>
      <c r="O623" s="3" t="s">
        <v>20</v>
      </c>
      <c r="P623" s="3"/>
    </row>
    <row r="624" spans="1:16" x14ac:dyDescent="0.25">
      <c r="A624" t="s">
        <v>15</v>
      </c>
      <c r="B624" s="1">
        <v>45992</v>
      </c>
      <c r="C624" s="1">
        <v>46022</v>
      </c>
      <c r="E624" t="s">
        <v>24</v>
      </c>
      <c r="G624">
        <v>0</v>
      </c>
      <c r="J624">
        <v>0</v>
      </c>
      <c r="K624">
        <v>0</v>
      </c>
      <c r="L624" t="s">
        <v>908</v>
      </c>
      <c r="M624" s="9" t="s">
        <v>19</v>
      </c>
      <c r="N624" s="3" t="str" cm="1">
        <f t="array" ref="N624">_xlfn.IFS(
OR(ISNUMBER(SEARCH("email",D624)),ISNUMBER(SEARCH("email",F624)),ISNUMBER(SEARCH("polish",D624)),ISNUMBER(SEARCH("rewrite",F624)),ISNUMBER(SEARCH("copy",F624))),"Writing and comms",
OR(ISNUMBER(SEARCH("research",F624)),ISNUMBER(SEARCH("intel",F624)),ISNUMBER(SEARCH("company",D624)),ISNUMBER(SEARCH("digger",D624))),"Research and intel",
OR(ISNUMBER(SEARCH("prompt",D624)),ISNUMBER(SEARCH("prompt",F624))),"Prompting help",
OR(ISNUMBER(SEARCH("role",D624)),ISNUMBER(SEARCH("scorecard",F624)),ISNUMBER(SEARCH("competenc",F624))),"Role and leadership advisory",
OR(ISNUMBER(SEARCH("meeting",F624)),ISNUMBER(SEARCH("notes",F624)),ISNUMBER(SEARCH("summary",F624))),"Meeting notes and summarization",
TRUE,"Other or fragmented"
)</f>
        <v>Other or fragmented</v>
      </c>
      <c r="O624" s="3" t="s">
        <v>20</v>
      </c>
      <c r="P624" s="3"/>
    </row>
    <row r="625" spans="1:16" x14ac:dyDescent="0.25">
      <c r="A625" t="s">
        <v>15</v>
      </c>
      <c r="B625" s="1">
        <v>45992</v>
      </c>
      <c r="C625" s="1">
        <v>46022</v>
      </c>
      <c r="E625" t="s">
        <v>24</v>
      </c>
      <c r="G625">
        <v>0</v>
      </c>
      <c r="J625">
        <v>0</v>
      </c>
      <c r="K625">
        <v>0</v>
      </c>
      <c r="L625" t="s">
        <v>908</v>
      </c>
      <c r="M625" s="10" t="s">
        <v>19</v>
      </c>
      <c r="N625" s="3" t="str" cm="1">
        <f t="array" ref="N625">_xlfn.IFS(
OR(ISNUMBER(SEARCH("email",D625)),ISNUMBER(SEARCH("email",F625)),ISNUMBER(SEARCH("polish",D625)),ISNUMBER(SEARCH("rewrite",F625)),ISNUMBER(SEARCH("copy",F625))),"Writing and comms",
OR(ISNUMBER(SEARCH("research",F625)),ISNUMBER(SEARCH("intel",F625)),ISNUMBER(SEARCH("company",D625)),ISNUMBER(SEARCH("digger",D625))),"Research and intel",
OR(ISNUMBER(SEARCH("prompt",D625)),ISNUMBER(SEARCH("prompt",F625))),"Prompting help",
OR(ISNUMBER(SEARCH("role",D625)),ISNUMBER(SEARCH("scorecard",F625)),ISNUMBER(SEARCH("competenc",F625))),"Role and leadership advisory",
OR(ISNUMBER(SEARCH("meeting",F625)),ISNUMBER(SEARCH("notes",F625)),ISNUMBER(SEARCH("summary",F625))),"Meeting notes and summarization",
TRUE,"Other or fragmented"
)</f>
        <v>Other or fragmented</v>
      </c>
      <c r="O625" s="3" t="s">
        <v>20</v>
      </c>
      <c r="P625" s="3"/>
    </row>
    <row r="626" spans="1:16" x14ac:dyDescent="0.25">
      <c r="A626" t="s">
        <v>15</v>
      </c>
      <c r="B626" s="1">
        <v>45992</v>
      </c>
      <c r="C626" s="1">
        <v>46022</v>
      </c>
      <c r="D626" t="s">
        <v>910</v>
      </c>
      <c r="E626" t="s">
        <v>17</v>
      </c>
      <c r="F626" t="s">
        <v>911</v>
      </c>
      <c r="G626">
        <v>1</v>
      </c>
      <c r="H626" s="1">
        <v>45992</v>
      </c>
      <c r="I626" s="1">
        <v>45993</v>
      </c>
      <c r="J626">
        <v>41</v>
      </c>
      <c r="K626">
        <v>2</v>
      </c>
      <c r="L626" t="s">
        <v>912</v>
      </c>
      <c r="M626" s="9" t="s">
        <v>19</v>
      </c>
      <c r="N626" s="3" t="str" cm="1">
        <f t="array" ref="N626">_xlfn.IFS(
OR(ISNUMBER(SEARCH("email",D626)),ISNUMBER(SEARCH("email",F626)),ISNUMBER(SEARCH("polish",D626)),ISNUMBER(SEARCH("rewrite",F626)),ISNUMBER(SEARCH("copy",F626))),"Writing and comms",
OR(ISNUMBER(SEARCH("research",F626)),ISNUMBER(SEARCH("intel",F626)),ISNUMBER(SEARCH("company",D626)),ISNUMBER(SEARCH("digger",D626))),"Research and intel",
OR(ISNUMBER(SEARCH("prompt",D626)),ISNUMBER(SEARCH("prompt",F626))),"Prompting help",
OR(ISNUMBER(SEARCH("role",D626)),ISNUMBER(SEARCH("scorecard",F626)),ISNUMBER(SEARCH("competenc",F626))),"Role and leadership advisory",
OR(ISNUMBER(SEARCH("meeting",F626)),ISNUMBER(SEARCH("notes",F626)),ISNUMBER(SEARCH("summary",F626))),"Meeting notes and summarization",
TRUE,"Other or fragmented"
)</f>
        <v>Other or fragmented</v>
      </c>
      <c r="O626" s="3" t="s">
        <v>20</v>
      </c>
      <c r="P626" s="3"/>
    </row>
    <row r="627" spans="1:16" x14ac:dyDescent="0.25">
      <c r="A627" t="s">
        <v>15</v>
      </c>
      <c r="B627" s="1">
        <v>45992</v>
      </c>
      <c r="C627" s="1">
        <v>46022</v>
      </c>
      <c r="D627" t="s">
        <v>913</v>
      </c>
      <c r="E627" t="s">
        <v>17</v>
      </c>
      <c r="F627" t="s">
        <v>914</v>
      </c>
      <c r="G627">
        <v>1</v>
      </c>
      <c r="H627" s="1">
        <v>45993</v>
      </c>
      <c r="I627" s="1">
        <v>46020</v>
      </c>
      <c r="J627">
        <v>49</v>
      </c>
      <c r="K627">
        <v>2</v>
      </c>
      <c r="L627" t="s">
        <v>912</v>
      </c>
      <c r="M627" s="10" t="s">
        <v>19</v>
      </c>
      <c r="N627" s="3" t="str" cm="1">
        <f t="array" ref="N627">_xlfn.IFS(
OR(ISNUMBER(SEARCH("email",D627)),ISNUMBER(SEARCH("email",F627)),ISNUMBER(SEARCH("polish",D627)),ISNUMBER(SEARCH("rewrite",F627)),ISNUMBER(SEARCH("copy",F627))),"Writing and comms",
OR(ISNUMBER(SEARCH("research",F627)),ISNUMBER(SEARCH("intel",F627)),ISNUMBER(SEARCH("company",D627)),ISNUMBER(SEARCH("digger",D627))),"Research and intel",
OR(ISNUMBER(SEARCH("prompt",D627)),ISNUMBER(SEARCH("prompt",F627))),"Prompting help",
OR(ISNUMBER(SEARCH("role",D627)),ISNUMBER(SEARCH("scorecard",F627)),ISNUMBER(SEARCH("competenc",F627))),"Role and leadership advisory",
OR(ISNUMBER(SEARCH("meeting",F627)),ISNUMBER(SEARCH("notes",F627)),ISNUMBER(SEARCH("summary",F627))),"Meeting notes and summarization",
TRUE,"Other or fragmented"
)</f>
        <v>Other or fragmented</v>
      </c>
      <c r="O627" s="3" t="s">
        <v>20</v>
      </c>
      <c r="P627" s="3"/>
    </row>
    <row r="628" spans="1:16" x14ac:dyDescent="0.25">
      <c r="A628" t="s">
        <v>15</v>
      </c>
      <c r="B628" s="1">
        <v>45992</v>
      </c>
      <c r="C628" s="1">
        <v>46022</v>
      </c>
      <c r="D628" t="s">
        <v>915</v>
      </c>
      <c r="E628" t="s">
        <v>17</v>
      </c>
      <c r="F628" t="s">
        <v>916</v>
      </c>
      <c r="G628">
        <v>1</v>
      </c>
      <c r="H628" s="1">
        <v>45994</v>
      </c>
      <c r="I628" s="1">
        <v>46021</v>
      </c>
      <c r="J628">
        <v>238</v>
      </c>
      <c r="K628">
        <v>1</v>
      </c>
      <c r="L628" t="s">
        <v>912</v>
      </c>
      <c r="M628" s="9" t="s">
        <v>19</v>
      </c>
      <c r="N628" s="3" t="str" cm="1">
        <f t="array" ref="N628">_xlfn.IFS(
OR(ISNUMBER(SEARCH("email",D628)),ISNUMBER(SEARCH("email",F628)),ISNUMBER(SEARCH("polish",D628)),ISNUMBER(SEARCH("rewrite",F628)),ISNUMBER(SEARCH("copy",F628))),"Writing and comms",
OR(ISNUMBER(SEARCH("research",F628)),ISNUMBER(SEARCH("intel",F628)),ISNUMBER(SEARCH("company",D628)),ISNUMBER(SEARCH("digger",D628))),"Research and intel",
OR(ISNUMBER(SEARCH("prompt",D628)),ISNUMBER(SEARCH("prompt",F628))),"Prompting help",
OR(ISNUMBER(SEARCH("role",D628)),ISNUMBER(SEARCH("scorecard",F628)),ISNUMBER(SEARCH("competenc",F628))),"Role and leadership advisory",
OR(ISNUMBER(SEARCH("meeting",F628)),ISNUMBER(SEARCH("notes",F628)),ISNUMBER(SEARCH("summary",F628))),"Meeting notes and summarization",
TRUE,"Other or fragmented"
)</f>
        <v>Writing and comms</v>
      </c>
      <c r="O628" s="3" t="s">
        <v>20</v>
      </c>
      <c r="P628" s="3"/>
    </row>
    <row r="629" spans="1:16" x14ac:dyDescent="0.25">
      <c r="A629" t="s">
        <v>15</v>
      </c>
      <c r="B629" s="1">
        <v>45992</v>
      </c>
      <c r="C629" s="1">
        <v>46022</v>
      </c>
      <c r="E629" t="s">
        <v>24</v>
      </c>
      <c r="G629">
        <v>0</v>
      </c>
      <c r="J629">
        <v>0</v>
      </c>
      <c r="K629">
        <v>0</v>
      </c>
      <c r="L629" t="s">
        <v>912</v>
      </c>
      <c r="M629" s="10" t="s">
        <v>19</v>
      </c>
      <c r="N629" s="3" t="str" cm="1">
        <f t="array" ref="N629">_xlfn.IFS(
OR(ISNUMBER(SEARCH("email",D629)),ISNUMBER(SEARCH("email",F629)),ISNUMBER(SEARCH("polish",D629)),ISNUMBER(SEARCH("rewrite",F629)),ISNUMBER(SEARCH("copy",F629))),"Writing and comms",
OR(ISNUMBER(SEARCH("research",F629)),ISNUMBER(SEARCH("intel",F629)),ISNUMBER(SEARCH("company",D629)),ISNUMBER(SEARCH("digger",D629))),"Research and intel",
OR(ISNUMBER(SEARCH("prompt",D629)),ISNUMBER(SEARCH("prompt",F629))),"Prompting help",
OR(ISNUMBER(SEARCH("role",D629)),ISNUMBER(SEARCH("scorecard",F629)),ISNUMBER(SEARCH("competenc",F629))),"Role and leadership advisory",
OR(ISNUMBER(SEARCH("meeting",F629)),ISNUMBER(SEARCH("notes",F629)),ISNUMBER(SEARCH("summary",F629))),"Meeting notes and summarization",
TRUE,"Other or fragmented"
)</f>
        <v>Other or fragmented</v>
      </c>
      <c r="O629" s="3" t="s">
        <v>20</v>
      </c>
      <c r="P629" s="3"/>
    </row>
    <row r="630" spans="1:16" x14ac:dyDescent="0.25">
      <c r="A630" t="s">
        <v>15</v>
      </c>
      <c r="B630" s="1">
        <v>45992</v>
      </c>
      <c r="C630" s="1">
        <v>46022</v>
      </c>
      <c r="D630" t="s">
        <v>915</v>
      </c>
      <c r="E630" t="s">
        <v>24</v>
      </c>
      <c r="G630">
        <v>0</v>
      </c>
      <c r="J630">
        <v>0</v>
      </c>
      <c r="K630">
        <v>0</v>
      </c>
      <c r="L630" t="s">
        <v>912</v>
      </c>
      <c r="M630" s="9" t="s">
        <v>19</v>
      </c>
      <c r="N630" s="3" t="str" cm="1">
        <f t="array" ref="N630">_xlfn.IFS(
OR(ISNUMBER(SEARCH("email",D630)),ISNUMBER(SEARCH("email",F630)),ISNUMBER(SEARCH("polish",D630)),ISNUMBER(SEARCH("rewrite",F630)),ISNUMBER(SEARCH("copy",F630))),"Writing and comms",
OR(ISNUMBER(SEARCH("research",F630)),ISNUMBER(SEARCH("intel",F630)),ISNUMBER(SEARCH("company",D630)),ISNUMBER(SEARCH("digger",D630))),"Research and intel",
OR(ISNUMBER(SEARCH("prompt",D630)),ISNUMBER(SEARCH("prompt",F630))),"Prompting help",
OR(ISNUMBER(SEARCH("role",D630)),ISNUMBER(SEARCH("scorecard",F630)),ISNUMBER(SEARCH("competenc",F630))),"Role and leadership advisory",
OR(ISNUMBER(SEARCH("meeting",F630)),ISNUMBER(SEARCH("notes",F630)),ISNUMBER(SEARCH("summary",F630))),"Meeting notes and summarization",
TRUE,"Other or fragmented"
)</f>
        <v>Other or fragmented</v>
      </c>
      <c r="O630" s="3" t="s">
        <v>20</v>
      </c>
      <c r="P630" s="3"/>
    </row>
    <row r="631" spans="1:16" x14ac:dyDescent="0.25">
      <c r="A631" t="s">
        <v>15</v>
      </c>
      <c r="B631" s="1">
        <v>45992</v>
      </c>
      <c r="C631" s="1">
        <v>46022</v>
      </c>
      <c r="E631" t="s">
        <v>24</v>
      </c>
      <c r="G631">
        <v>0</v>
      </c>
      <c r="J631">
        <v>0</v>
      </c>
      <c r="K631">
        <v>0</v>
      </c>
      <c r="L631" t="s">
        <v>912</v>
      </c>
      <c r="M631" s="10" t="s">
        <v>19</v>
      </c>
      <c r="N631" s="3" t="str" cm="1">
        <f t="array" ref="N631">_xlfn.IFS(
OR(ISNUMBER(SEARCH("email",D631)),ISNUMBER(SEARCH("email",F631)),ISNUMBER(SEARCH("polish",D631)),ISNUMBER(SEARCH("rewrite",F631)),ISNUMBER(SEARCH("copy",F631))),"Writing and comms",
OR(ISNUMBER(SEARCH("research",F631)),ISNUMBER(SEARCH("intel",F631)),ISNUMBER(SEARCH("company",D631)),ISNUMBER(SEARCH("digger",D631))),"Research and intel",
OR(ISNUMBER(SEARCH("prompt",D631)),ISNUMBER(SEARCH("prompt",F631))),"Prompting help",
OR(ISNUMBER(SEARCH("role",D631)),ISNUMBER(SEARCH("scorecard",F631)),ISNUMBER(SEARCH("competenc",F631))),"Role and leadership advisory",
OR(ISNUMBER(SEARCH("meeting",F631)),ISNUMBER(SEARCH("notes",F631)),ISNUMBER(SEARCH("summary",F631))),"Meeting notes and summarization",
TRUE,"Other or fragmented"
)</f>
        <v>Other or fragmented</v>
      </c>
      <c r="O631" s="3" t="s">
        <v>20</v>
      </c>
      <c r="P631" s="3"/>
    </row>
    <row r="632" spans="1:16" x14ac:dyDescent="0.25">
      <c r="A632" t="s">
        <v>15</v>
      </c>
      <c r="B632" s="1">
        <v>45992</v>
      </c>
      <c r="C632" s="1">
        <v>46022</v>
      </c>
      <c r="E632" t="s">
        <v>24</v>
      </c>
      <c r="G632">
        <v>0</v>
      </c>
      <c r="J632">
        <v>0</v>
      </c>
      <c r="K632">
        <v>0</v>
      </c>
      <c r="L632" t="s">
        <v>912</v>
      </c>
      <c r="M632" s="9" t="s">
        <v>19</v>
      </c>
      <c r="N632" s="3" t="str" cm="1">
        <f t="array" ref="N632">_xlfn.IFS(
OR(ISNUMBER(SEARCH("email",D632)),ISNUMBER(SEARCH("email",F632)),ISNUMBER(SEARCH("polish",D632)),ISNUMBER(SEARCH("rewrite",F632)),ISNUMBER(SEARCH("copy",F632))),"Writing and comms",
OR(ISNUMBER(SEARCH("research",F632)),ISNUMBER(SEARCH("intel",F632)),ISNUMBER(SEARCH("company",D632)),ISNUMBER(SEARCH("digger",D632))),"Research and intel",
OR(ISNUMBER(SEARCH("prompt",D632)),ISNUMBER(SEARCH("prompt",F632))),"Prompting help",
OR(ISNUMBER(SEARCH("role",D632)),ISNUMBER(SEARCH("scorecard",F632)),ISNUMBER(SEARCH("competenc",F632))),"Role and leadership advisory",
OR(ISNUMBER(SEARCH("meeting",F632)),ISNUMBER(SEARCH("notes",F632)),ISNUMBER(SEARCH("summary",F632))),"Meeting notes and summarization",
TRUE,"Other or fragmented"
)</f>
        <v>Other or fragmented</v>
      </c>
      <c r="O632" s="3" t="s">
        <v>20</v>
      </c>
      <c r="P632" s="3"/>
    </row>
    <row r="633" spans="1:16" x14ac:dyDescent="0.25">
      <c r="A633" t="s">
        <v>15</v>
      </c>
      <c r="B633" s="1">
        <v>45992</v>
      </c>
      <c r="C633" s="1">
        <v>46022</v>
      </c>
      <c r="D633" t="s">
        <v>917</v>
      </c>
      <c r="E633" t="s">
        <v>17</v>
      </c>
      <c r="F633" t="s">
        <v>918</v>
      </c>
      <c r="G633">
        <v>0</v>
      </c>
      <c r="J633">
        <v>0</v>
      </c>
      <c r="K633">
        <v>0</v>
      </c>
      <c r="L633" t="s">
        <v>919</v>
      </c>
      <c r="M633" s="10" t="s">
        <v>19</v>
      </c>
      <c r="N633" s="3" t="str" cm="1">
        <f t="array" ref="N633">_xlfn.IFS(
OR(ISNUMBER(SEARCH("email",D633)),ISNUMBER(SEARCH("email",F633)),ISNUMBER(SEARCH("polish",D633)),ISNUMBER(SEARCH("rewrite",F633)),ISNUMBER(SEARCH("copy",F633))),"Writing and comms",
OR(ISNUMBER(SEARCH("research",F633)),ISNUMBER(SEARCH("intel",F633)),ISNUMBER(SEARCH("company",D633)),ISNUMBER(SEARCH("digger",D633))),"Research and intel",
OR(ISNUMBER(SEARCH("prompt",D633)),ISNUMBER(SEARCH("prompt",F633))),"Prompting help",
OR(ISNUMBER(SEARCH("role",D633)),ISNUMBER(SEARCH("scorecard",F633)),ISNUMBER(SEARCH("competenc",F633))),"Role and leadership advisory",
OR(ISNUMBER(SEARCH("meeting",F633)),ISNUMBER(SEARCH("notes",F633)),ISNUMBER(SEARCH("summary",F633))),"Meeting notes and summarization",
TRUE,"Other or fragmented"
)</f>
        <v>Other or fragmented</v>
      </c>
      <c r="O633" s="3" t="s">
        <v>20</v>
      </c>
      <c r="P633" s="3"/>
    </row>
    <row r="634" spans="1:16" x14ac:dyDescent="0.25">
      <c r="A634" t="s">
        <v>15</v>
      </c>
      <c r="B634" s="1">
        <v>45992</v>
      </c>
      <c r="C634" s="1">
        <v>46022</v>
      </c>
      <c r="E634" t="s">
        <v>24</v>
      </c>
      <c r="G634">
        <v>0</v>
      </c>
      <c r="J634">
        <v>0</v>
      </c>
      <c r="K634">
        <v>0</v>
      </c>
      <c r="L634" t="s">
        <v>919</v>
      </c>
      <c r="M634" s="9" t="s">
        <v>19</v>
      </c>
      <c r="N634" s="3" t="str" cm="1">
        <f t="array" ref="N634">_xlfn.IFS(
OR(ISNUMBER(SEARCH("email",D634)),ISNUMBER(SEARCH("email",F634)),ISNUMBER(SEARCH("polish",D634)),ISNUMBER(SEARCH("rewrite",F634)),ISNUMBER(SEARCH("copy",F634))),"Writing and comms",
OR(ISNUMBER(SEARCH("research",F634)),ISNUMBER(SEARCH("intel",F634)),ISNUMBER(SEARCH("company",D634)),ISNUMBER(SEARCH("digger",D634))),"Research and intel",
OR(ISNUMBER(SEARCH("prompt",D634)),ISNUMBER(SEARCH("prompt",F634))),"Prompting help",
OR(ISNUMBER(SEARCH("role",D634)),ISNUMBER(SEARCH("scorecard",F634)),ISNUMBER(SEARCH("competenc",F634))),"Role and leadership advisory",
OR(ISNUMBER(SEARCH("meeting",F634)),ISNUMBER(SEARCH("notes",F634)),ISNUMBER(SEARCH("summary",F634))),"Meeting notes and summarization",
TRUE,"Other or fragmented"
)</f>
        <v>Other or fragmented</v>
      </c>
      <c r="O634" s="3" t="s">
        <v>20</v>
      </c>
      <c r="P634" s="3"/>
    </row>
    <row r="635" spans="1:16" x14ac:dyDescent="0.25">
      <c r="A635" t="s">
        <v>15</v>
      </c>
      <c r="B635" s="1">
        <v>45992</v>
      </c>
      <c r="C635" s="1">
        <v>46022</v>
      </c>
      <c r="D635" t="s">
        <v>920</v>
      </c>
      <c r="E635" t="s">
        <v>17</v>
      </c>
      <c r="F635" t="s">
        <v>921</v>
      </c>
      <c r="G635">
        <v>0</v>
      </c>
      <c r="J635">
        <v>0</v>
      </c>
      <c r="K635">
        <v>0</v>
      </c>
      <c r="L635" t="s">
        <v>922</v>
      </c>
      <c r="M635" s="10" t="s">
        <v>19</v>
      </c>
      <c r="N635" s="3" t="str" cm="1">
        <f t="array" ref="N635">_xlfn.IFS(
OR(ISNUMBER(SEARCH("email",D635)),ISNUMBER(SEARCH("email",F635)),ISNUMBER(SEARCH("polish",D635)),ISNUMBER(SEARCH("rewrite",F635)),ISNUMBER(SEARCH("copy",F635))),"Writing and comms",
OR(ISNUMBER(SEARCH("research",F635)),ISNUMBER(SEARCH("intel",F635)),ISNUMBER(SEARCH("company",D635)),ISNUMBER(SEARCH("digger",D635))),"Research and intel",
OR(ISNUMBER(SEARCH("prompt",D635)),ISNUMBER(SEARCH("prompt",F635))),"Prompting help",
OR(ISNUMBER(SEARCH("role",D635)),ISNUMBER(SEARCH("scorecard",F635)),ISNUMBER(SEARCH("competenc",F635))),"Role and leadership advisory",
OR(ISNUMBER(SEARCH("meeting",F635)),ISNUMBER(SEARCH("notes",F635)),ISNUMBER(SEARCH("summary",F635))),"Meeting notes and summarization",
TRUE,"Other or fragmented"
)</f>
        <v>Meeting notes and summarization</v>
      </c>
      <c r="O635" s="3" t="s">
        <v>20</v>
      </c>
      <c r="P635" s="3"/>
    </row>
    <row r="636" spans="1:16" x14ac:dyDescent="0.25">
      <c r="A636" t="s">
        <v>15</v>
      </c>
      <c r="B636" s="1">
        <v>45992</v>
      </c>
      <c r="C636" s="1">
        <v>46022</v>
      </c>
      <c r="E636" t="s">
        <v>24</v>
      </c>
      <c r="G636">
        <v>0</v>
      </c>
      <c r="J636">
        <v>0</v>
      </c>
      <c r="K636">
        <v>0</v>
      </c>
      <c r="L636" t="s">
        <v>923</v>
      </c>
      <c r="M636" s="9" t="s">
        <v>19</v>
      </c>
      <c r="N636" s="3" t="str" cm="1">
        <f t="array" ref="N636">_xlfn.IFS(
OR(ISNUMBER(SEARCH("email",D636)),ISNUMBER(SEARCH("email",F636)),ISNUMBER(SEARCH("polish",D636)),ISNUMBER(SEARCH("rewrite",F636)),ISNUMBER(SEARCH("copy",F636))),"Writing and comms",
OR(ISNUMBER(SEARCH("research",F636)),ISNUMBER(SEARCH("intel",F636)),ISNUMBER(SEARCH("company",D636)),ISNUMBER(SEARCH("digger",D636))),"Research and intel",
OR(ISNUMBER(SEARCH("prompt",D636)),ISNUMBER(SEARCH("prompt",F636))),"Prompting help",
OR(ISNUMBER(SEARCH("role",D636)),ISNUMBER(SEARCH("scorecard",F636)),ISNUMBER(SEARCH("competenc",F636))),"Role and leadership advisory",
OR(ISNUMBER(SEARCH("meeting",F636)),ISNUMBER(SEARCH("notes",F636)),ISNUMBER(SEARCH("summary",F636))),"Meeting notes and summarization",
TRUE,"Other or fragmented"
)</f>
        <v>Other or fragmented</v>
      </c>
      <c r="O636" s="3" t="s">
        <v>20</v>
      </c>
      <c r="P636" s="3"/>
    </row>
    <row r="637" spans="1:16" x14ac:dyDescent="0.25">
      <c r="A637" t="s">
        <v>15</v>
      </c>
      <c r="B637" s="1">
        <v>45992</v>
      </c>
      <c r="C637" s="1">
        <v>46022</v>
      </c>
      <c r="G637">
        <v>1</v>
      </c>
      <c r="H637" s="1">
        <v>46015</v>
      </c>
      <c r="I637" s="1">
        <v>46015</v>
      </c>
      <c r="J637">
        <v>24</v>
      </c>
      <c r="K637">
        <v>3</v>
      </c>
      <c r="M637" s="10" t="s">
        <v>19</v>
      </c>
      <c r="N637" s="3" t="str" cm="1">
        <f t="array" ref="N637">_xlfn.IFS(
OR(ISNUMBER(SEARCH("email",D637)),ISNUMBER(SEARCH("email",F637)),ISNUMBER(SEARCH("polish",D637)),ISNUMBER(SEARCH("rewrite",F637)),ISNUMBER(SEARCH("copy",F637))),"Writing and comms",
OR(ISNUMBER(SEARCH("research",F637)),ISNUMBER(SEARCH("intel",F637)),ISNUMBER(SEARCH("company",D637)),ISNUMBER(SEARCH("digger",D637))),"Research and intel",
OR(ISNUMBER(SEARCH("prompt",D637)),ISNUMBER(SEARCH("prompt",F637))),"Prompting help",
OR(ISNUMBER(SEARCH("role",D637)),ISNUMBER(SEARCH("scorecard",F637)),ISNUMBER(SEARCH("competenc",F637))),"Role and leadership advisory",
OR(ISNUMBER(SEARCH("meeting",F637)),ISNUMBER(SEARCH("notes",F637)),ISNUMBER(SEARCH("summary",F637))),"Meeting notes and summarization",
TRUE,"Other or fragmented"
)</f>
        <v>Other or fragmented</v>
      </c>
      <c r="O637" s="3" t="s">
        <v>20</v>
      </c>
      <c r="P637" s="3"/>
    </row>
    <row r="638" spans="1:16" x14ac:dyDescent="0.25">
      <c r="A638" t="s">
        <v>15</v>
      </c>
      <c r="B638" s="1">
        <v>45992</v>
      </c>
      <c r="C638" s="1">
        <v>46022</v>
      </c>
      <c r="G638">
        <v>1</v>
      </c>
      <c r="H638" s="1">
        <v>46015</v>
      </c>
      <c r="I638" s="1">
        <v>46016</v>
      </c>
      <c r="J638">
        <v>18</v>
      </c>
      <c r="K638">
        <v>2</v>
      </c>
      <c r="M638" s="9" t="s">
        <v>19</v>
      </c>
      <c r="N638" s="3" t="str" cm="1">
        <f t="array" ref="N638">_xlfn.IFS(
OR(ISNUMBER(SEARCH("email",D638)),ISNUMBER(SEARCH("email",F638)),ISNUMBER(SEARCH("polish",D638)),ISNUMBER(SEARCH("rewrite",F638)),ISNUMBER(SEARCH("copy",F638))),"Writing and comms",
OR(ISNUMBER(SEARCH("research",F638)),ISNUMBER(SEARCH("intel",F638)),ISNUMBER(SEARCH("company",D638)),ISNUMBER(SEARCH("digger",D638))),"Research and intel",
OR(ISNUMBER(SEARCH("prompt",D638)),ISNUMBER(SEARCH("prompt",F638))),"Prompting help",
OR(ISNUMBER(SEARCH("role",D638)),ISNUMBER(SEARCH("scorecard",F638)),ISNUMBER(SEARCH("competenc",F638))),"Role and leadership advisory",
OR(ISNUMBER(SEARCH("meeting",F638)),ISNUMBER(SEARCH("notes",F638)),ISNUMBER(SEARCH("summary",F638))),"Meeting notes and summarization",
TRUE,"Other or fragmented"
)</f>
        <v>Other or fragmented</v>
      </c>
      <c r="O638" s="3" t="s">
        <v>20</v>
      </c>
      <c r="P638" s="3"/>
    </row>
    <row r="639" spans="1:16" x14ac:dyDescent="0.25">
      <c r="A639" t="s">
        <v>15</v>
      </c>
      <c r="B639" s="1">
        <v>45992</v>
      </c>
      <c r="C639" s="1">
        <v>46022</v>
      </c>
      <c r="G639">
        <v>1</v>
      </c>
      <c r="H639" s="1">
        <v>46015</v>
      </c>
      <c r="I639" s="1">
        <v>46015</v>
      </c>
      <c r="J639">
        <v>1</v>
      </c>
      <c r="K639">
        <v>1</v>
      </c>
      <c r="M639" s="10" t="s">
        <v>19</v>
      </c>
      <c r="N639" s="3" t="str" cm="1">
        <f t="array" ref="N639">_xlfn.IFS(
OR(ISNUMBER(SEARCH("email",D639)),ISNUMBER(SEARCH("email",F639)),ISNUMBER(SEARCH("polish",D639)),ISNUMBER(SEARCH("rewrite",F639)),ISNUMBER(SEARCH("copy",F639))),"Writing and comms",
OR(ISNUMBER(SEARCH("research",F639)),ISNUMBER(SEARCH("intel",F639)),ISNUMBER(SEARCH("company",D639)),ISNUMBER(SEARCH("digger",D639))),"Research and intel",
OR(ISNUMBER(SEARCH("prompt",D639)),ISNUMBER(SEARCH("prompt",F639))),"Prompting help",
OR(ISNUMBER(SEARCH("role",D639)),ISNUMBER(SEARCH("scorecard",F639)),ISNUMBER(SEARCH("competenc",F639))),"Role and leadership advisory",
OR(ISNUMBER(SEARCH("meeting",F639)),ISNUMBER(SEARCH("notes",F639)),ISNUMBER(SEARCH("summary",F639))),"Meeting notes and summarization",
TRUE,"Other or fragmented"
)</f>
        <v>Other or fragmented</v>
      </c>
      <c r="O639" s="3" t="s">
        <v>20</v>
      </c>
      <c r="P639" s="3"/>
    </row>
    <row r="640" spans="1:16" x14ac:dyDescent="0.25">
      <c r="A640" t="s">
        <v>15</v>
      </c>
      <c r="B640" s="1">
        <v>45992</v>
      </c>
      <c r="C640" s="1">
        <v>46022</v>
      </c>
      <c r="G640">
        <v>1</v>
      </c>
      <c r="H640" s="1">
        <v>46015</v>
      </c>
      <c r="I640" s="1">
        <v>46015</v>
      </c>
      <c r="J640">
        <v>3</v>
      </c>
      <c r="K640">
        <v>1</v>
      </c>
      <c r="M640" s="9" t="s">
        <v>19</v>
      </c>
      <c r="N640" s="3" t="str" cm="1">
        <f t="array" ref="N640">_xlfn.IFS(
OR(ISNUMBER(SEARCH("email",D640)),ISNUMBER(SEARCH("email",F640)),ISNUMBER(SEARCH("polish",D640)),ISNUMBER(SEARCH("rewrite",F640)),ISNUMBER(SEARCH("copy",F640))),"Writing and comms",
OR(ISNUMBER(SEARCH("research",F640)),ISNUMBER(SEARCH("intel",F640)),ISNUMBER(SEARCH("company",D640)),ISNUMBER(SEARCH("digger",D640))),"Research and intel",
OR(ISNUMBER(SEARCH("prompt",D640)),ISNUMBER(SEARCH("prompt",F640))),"Prompting help",
OR(ISNUMBER(SEARCH("role",D640)),ISNUMBER(SEARCH("scorecard",F640)),ISNUMBER(SEARCH("competenc",F640))),"Role and leadership advisory",
OR(ISNUMBER(SEARCH("meeting",F640)),ISNUMBER(SEARCH("notes",F640)),ISNUMBER(SEARCH("summary",F640))),"Meeting notes and summarization",
TRUE,"Other or fragmented"
)</f>
        <v>Other or fragmented</v>
      </c>
      <c r="O640" s="3" t="s">
        <v>20</v>
      </c>
      <c r="P640" s="3"/>
    </row>
    <row r="641" spans="1:16" x14ac:dyDescent="0.25">
      <c r="A641" t="s">
        <v>15</v>
      </c>
      <c r="B641" s="1">
        <v>45992</v>
      </c>
      <c r="C641" s="1">
        <v>46022</v>
      </c>
      <c r="G641">
        <v>1</v>
      </c>
      <c r="H641" s="1">
        <v>46015</v>
      </c>
      <c r="I641" s="1">
        <v>46015</v>
      </c>
      <c r="J641">
        <v>10</v>
      </c>
      <c r="K641">
        <v>1</v>
      </c>
      <c r="M641" s="11" t="s">
        <v>19</v>
      </c>
      <c r="N641" s="3" t="str" cm="1">
        <f t="array" ref="N641">_xlfn.IFS(
OR(ISNUMBER(SEARCH("email",D641)),ISNUMBER(SEARCH("email",F641)),ISNUMBER(SEARCH("polish",D641)),ISNUMBER(SEARCH("rewrite",F641)),ISNUMBER(SEARCH("copy",F641))),"Writing and comms",
OR(ISNUMBER(SEARCH("research",F641)),ISNUMBER(SEARCH("intel",F641)),ISNUMBER(SEARCH("company",D641)),ISNUMBER(SEARCH("digger",D641))),"Research and intel",
OR(ISNUMBER(SEARCH("prompt",D641)),ISNUMBER(SEARCH("prompt",F641))),"Prompting help",
OR(ISNUMBER(SEARCH("role",D641)),ISNUMBER(SEARCH("scorecard",F641)),ISNUMBER(SEARCH("competenc",F641))),"Role and leadership advisory",
OR(ISNUMBER(SEARCH("meeting",F641)),ISNUMBER(SEARCH("notes",F641)),ISNUMBER(SEARCH("summary",F641))),"Meeting notes and summarization",
TRUE,"Other or fragmented"
)</f>
        <v>Other or fragmented</v>
      </c>
      <c r="O641" s="3" t="s">
        <v>20</v>
      </c>
      <c r="P641" s="3"/>
    </row>
  </sheetData>
  <sortState xmlns:xlrd2="http://schemas.microsoft.com/office/spreadsheetml/2017/richdata2" ref="A2:L641">
    <sortCondition ref="J2:J641"/>
  </sortState>
  <phoneticPr fontId="23"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C0781-ECA1-491C-B29B-946F5F826532}">
  <dimension ref="B1:S32"/>
  <sheetViews>
    <sheetView topLeftCell="A29" workbookViewId="0">
      <selection activeCell="I62" sqref="I62"/>
    </sheetView>
  </sheetViews>
  <sheetFormatPr defaultRowHeight="15" x14ac:dyDescent="0.25"/>
  <cols>
    <col min="1" max="12" width="9.140625" style="7"/>
    <col min="13" max="13" width="36.140625" style="7" customWidth="1"/>
    <col min="14" max="14" width="16.85546875" style="7" customWidth="1"/>
    <col min="15" max="16" width="9.140625" style="7"/>
    <col min="17" max="17" width="37.85546875" style="7" customWidth="1"/>
    <col min="18" max="18" width="21.28515625" style="7" customWidth="1"/>
    <col min="19" max="16384" width="9.140625" style="7"/>
  </cols>
  <sheetData>
    <row r="1" spans="2:2" x14ac:dyDescent="0.25">
      <c r="B1" s="13" t="s">
        <v>924</v>
      </c>
    </row>
    <row r="19" spans="13:19" x14ac:dyDescent="0.25">
      <c r="M19" s="14" t="s">
        <v>941</v>
      </c>
      <c r="N19" s="14" t="s">
        <v>944</v>
      </c>
      <c r="O19" t="s">
        <v>945</v>
      </c>
    </row>
    <row r="20" spans="13:19" x14ac:dyDescent="0.25">
      <c r="M20" s="16">
        <v>45992</v>
      </c>
      <c r="N20" s="15">
        <v>3000</v>
      </c>
      <c r="O20" s="15">
        <v>152</v>
      </c>
    </row>
    <row r="21" spans="13:19" x14ac:dyDescent="0.25">
      <c r="M21" s="17" t="s">
        <v>319</v>
      </c>
      <c r="N21" s="15">
        <v>62</v>
      </c>
      <c r="O21" s="15">
        <v>1</v>
      </c>
    </row>
    <row r="22" spans="13:19" x14ac:dyDescent="0.25">
      <c r="M22" s="17" t="s">
        <v>132</v>
      </c>
      <c r="N22" s="15">
        <v>2810</v>
      </c>
      <c r="O22" s="15">
        <v>149</v>
      </c>
      <c r="Q22" s="14" t="s">
        <v>941</v>
      </c>
      <c r="R22" s="14" t="s">
        <v>944</v>
      </c>
      <c r="S22" t="s">
        <v>945</v>
      </c>
    </row>
    <row r="23" spans="13:19" x14ac:dyDescent="0.25">
      <c r="M23" s="17" t="s">
        <v>154</v>
      </c>
      <c r="N23" s="15">
        <v>0</v>
      </c>
      <c r="O23" s="15">
        <v>0</v>
      </c>
      <c r="Q23" s="16">
        <v>45992</v>
      </c>
      <c r="R23" s="15">
        <v>0</v>
      </c>
      <c r="S23" s="15">
        <v>0</v>
      </c>
    </row>
    <row r="24" spans="13:19" x14ac:dyDescent="0.25">
      <c r="M24" s="17" t="s">
        <v>152</v>
      </c>
      <c r="N24" s="15">
        <v>0</v>
      </c>
      <c r="O24" s="15">
        <v>0</v>
      </c>
      <c r="Q24" s="17" t="s">
        <v>153</v>
      </c>
      <c r="R24" s="15">
        <v>0</v>
      </c>
      <c r="S24" s="15">
        <v>0</v>
      </c>
    </row>
    <row r="25" spans="13:19" x14ac:dyDescent="0.25">
      <c r="M25" s="17" t="s">
        <v>165</v>
      </c>
      <c r="N25" s="15">
        <v>0</v>
      </c>
      <c r="O25" s="15">
        <v>0</v>
      </c>
      <c r="Q25" s="17" t="s">
        <v>143</v>
      </c>
      <c r="R25" s="15">
        <v>0</v>
      </c>
      <c r="S25" s="15">
        <v>0</v>
      </c>
    </row>
    <row r="26" spans="13:19" x14ac:dyDescent="0.25">
      <c r="M26" s="17" t="s">
        <v>155</v>
      </c>
      <c r="N26" s="15">
        <v>0</v>
      </c>
      <c r="O26" s="15">
        <v>0</v>
      </c>
      <c r="Q26" s="17" t="s">
        <v>778</v>
      </c>
      <c r="R26" s="15">
        <v>0</v>
      </c>
      <c r="S26" s="15">
        <v>0</v>
      </c>
    </row>
    <row r="27" spans="13:19" x14ac:dyDescent="0.25">
      <c r="M27" s="17" t="s">
        <v>674</v>
      </c>
      <c r="N27" s="15">
        <v>0</v>
      </c>
      <c r="O27" s="15">
        <v>0</v>
      </c>
      <c r="Q27" s="16" t="s">
        <v>942</v>
      </c>
      <c r="R27" s="15">
        <v>0</v>
      </c>
      <c r="S27" s="15">
        <v>0</v>
      </c>
    </row>
    <row r="28" spans="13:19" x14ac:dyDescent="0.25">
      <c r="M28" s="17" t="s">
        <v>159</v>
      </c>
      <c r="N28" s="15">
        <v>0</v>
      </c>
      <c r="O28" s="15">
        <v>0</v>
      </c>
    </row>
    <row r="29" spans="13:19" x14ac:dyDescent="0.25">
      <c r="M29" s="17" t="s">
        <v>156</v>
      </c>
      <c r="N29" s="15">
        <v>0</v>
      </c>
      <c r="O29" s="15">
        <v>0</v>
      </c>
    </row>
    <row r="30" spans="13:19" x14ac:dyDescent="0.25">
      <c r="M30" s="17" t="s">
        <v>423</v>
      </c>
      <c r="N30" s="15">
        <v>15</v>
      </c>
      <c r="O30" s="15">
        <v>1</v>
      </c>
    </row>
    <row r="31" spans="13:19" x14ac:dyDescent="0.25">
      <c r="M31" s="17" t="s">
        <v>495</v>
      </c>
      <c r="N31" s="15">
        <v>113</v>
      </c>
      <c r="O31" s="15">
        <v>1</v>
      </c>
    </row>
    <row r="32" spans="13:19" x14ac:dyDescent="0.25">
      <c r="M32" s="16" t="s">
        <v>942</v>
      </c>
      <c r="N32" s="15">
        <v>3000</v>
      </c>
      <c r="O32" s="15">
        <v>152</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177A-50DE-4AC9-97F2-E9ADAA64B67B}">
  <dimension ref="A1:E24"/>
  <sheetViews>
    <sheetView tabSelected="1" workbookViewId="0">
      <selection activeCell="I6" sqref="I6"/>
    </sheetView>
  </sheetViews>
  <sheetFormatPr defaultRowHeight="15" x14ac:dyDescent="0.25"/>
  <cols>
    <col min="1" max="1" width="29.28515625" customWidth="1"/>
    <col min="3" max="3" width="14.140625" customWidth="1"/>
    <col min="4" max="4" width="21" customWidth="1"/>
  </cols>
  <sheetData>
    <row r="1" spans="1:5" ht="18.75" x14ac:dyDescent="0.3">
      <c r="A1" s="2" t="s">
        <v>925</v>
      </c>
      <c r="B1" s="2"/>
      <c r="C1" s="2"/>
      <c r="D1" s="2"/>
      <c r="E1" s="3"/>
    </row>
    <row r="2" spans="1:5" x14ac:dyDescent="0.25">
      <c r="A2" s="8" t="s">
        <v>924</v>
      </c>
      <c r="B2" s="3"/>
      <c r="C2" s="3"/>
      <c r="D2" s="3"/>
      <c r="E2" s="3"/>
    </row>
    <row r="3" spans="1:5" x14ac:dyDescent="0.25">
      <c r="A3" s="3"/>
      <c r="B3" s="3"/>
      <c r="C3" s="3"/>
      <c r="D3" s="3"/>
      <c r="E3" s="3"/>
    </row>
    <row r="4" spans="1:5" x14ac:dyDescent="0.25">
      <c r="A4" s="3"/>
      <c r="B4" s="3"/>
      <c r="C4" s="3"/>
      <c r="D4" s="3"/>
      <c r="E4" s="3"/>
    </row>
    <row r="5" spans="1:5" x14ac:dyDescent="0.25">
      <c r="A5" s="3" t="s">
        <v>926</v>
      </c>
      <c r="B5" s="3" t="s">
        <v>927</v>
      </c>
      <c r="C5" s="3"/>
      <c r="D5" s="4" t="s">
        <v>928</v>
      </c>
      <c r="E5" s="3" t="s">
        <v>929</v>
      </c>
    </row>
    <row r="6" spans="1:5" x14ac:dyDescent="0.25">
      <c r="A6" s="3"/>
      <c r="B6" s="3"/>
      <c r="C6" s="3"/>
      <c r="D6" s="3"/>
      <c r="E6" s="3"/>
    </row>
    <row r="7" spans="1:5" x14ac:dyDescent="0.25">
      <c r="A7" s="4" t="s">
        <v>930</v>
      </c>
      <c r="B7" s="3"/>
      <c r="C7" s="3"/>
      <c r="D7" s="4" t="s">
        <v>931</v>
      </c>
      <c r="E7" s="3"/>
    </row>
    <row r="8" spans="1:5" x14ac:dyDescent="0.25">
      <c r="A8" s="3" t="s">
        <v>932</v>
      </c>
      <c r="B8" s="3">
        <v>6296</v>
      </c>
      <c r="C8" s="3"/>
      <c r="D8" s="3" t="s">
        <v>932</v>
      </c>
      <c r="E8" s="3">
        <v>7188</v>
      </c>
    </row>
    <row r="9" spans="1:5" x14ac:dyDescent="0.25">
      <c r="A9" s="3" t="s">
        <v>933</v>
      </c>
      <c r="B9" s="3">
        <v>135</v>
      </c>
      <c r="C9" s="3"/>
      <c r="D9" s="3" t="s">
        <v>933</v>
      </c>
      <c r="E9" s="3">
        <v>181</v>
      </c>
    </row>
    <row r="10" spans="1:5" x14ac:dyDescent="0.25">
      <c r="A10" s="3" t="s">
        <v>934</v>
      </c>
      <c r="B10" s="5">
        <v>0.312</v>
      </c>
      <c r="C10" s="3"/>
      <c r="D10" s="3" t="s">
        <v>935</v>
      </c>
      <c r="E10" s="5">
        <v>0.11600000000000001</v>
      </c>
    </row>
    <row r="11" spans="1:5" x14ac:dyDescent="0.25">
      <c r="A11" s="3"/>
      <c r="B11" s="3"/>
      <c r="C11" s="3"/>
      <c r="D11" s="3"/>
      <c r="E11" s="3"/>
    </row>
    <row r="12" spans="1:5" x14ac:dyDescent="0.25">
      <c r="A12" s="3"/>
      <c r="B12" s="3"/>
      <c r="C12" s="3"/>
      <c r="D12" s="3"/>
      <c r="E12" s="3"/>
    </row>
    <row r="13" spans="1:5" x14ac:dyDescent="0.25">
      <c r="A13" s="4" t="s">
        <v>936</v>
      </c>
      <c r="B13" s="3"/>
      <c r="C13" s="3"/>
      <c r="D13" s="3"/>
      <c r="E13" s="3"/>
    </row>
    <row r="14" spans="1:5" x14ac:dyDescent="0.25">
      <c r="A14" s="6" t="s">
        <v>3</v>
      </c>
      <c r="B14" s="6" t="s">
        <v>937</v>
      </c>
      <c r="C14" s="6" t="s">
        <v>938</v>
      </c>
      <c r="D14" s="6" t="s">
        <v>939</v>
      </c>
      <c r="E14" s="3"/>
    </row>
    <row r="15" spans="1:5" x14ac:dyDescent="0.25">
      <c r="A15" s="3" t="s">
        <v>85</v>
      </c>
      <c r="B15" s="3">
        <v>636</v>
      </c>
      <c r="C15" s="3">
        <v>77</v>
      </c>
      <c r="D15" s="3" t="s">
        <v>87</v>
      </c>
      <c r="E15" s="3"/>
    </row>
    <row r="16" spans="1:5" x14ac:dyDescent="0.25">
      <c r="A16" s="3" t="s">
        <v>517</v>
      </c>
      <c r="B16" s="3">
        <v>378</v>
      </c>
      <c r="C16" s="3">
        <v>1</v>
      </c>
      <c r="D16" s="3" t="s">
        <v>519</v>
      </c>
      <c r="E16" s="3"/>
    </row>
    <row r="17" spans="1:5" x14ac:dyDescent="0.25">
      <c r="A17" s="3" t="s">
        <v>425</v>
      </c>
      <c r="B17" s="3">
        <v>368</v>
      </c>
      <c r="C17" s="3">
        <v>1</v>
      </c>
      <c r="D17" s="3" t="s">
        <v>422</v>
      </c>
      <c r="E17" s="3"/>
    </row>
    <row r="18" spans="1:5" x14ac:dyDescent="0.25">
      <c r="A18" s="3" t="s">
        <v>539</v>
      </c>
      <c r="B18" s="3">
        <v>302</v>
      </c>
      <c r="C18" s="3">
        <v>6</v>
      </c>
      <c r="D18" s="3" t="s">
        <v>541</v>
      </c>
      <c r="E18" s="3"/>
    </row>
    <row r="19" spans="1:5" x14ac:dyDescent="0.25">
      <c r="A19" s="3" t="s">
        <v>820</v>
      </c>
      <c r="B19" s="3">
        <v>280</v>
      </c>
      <c r="C19" s="3">
        <v>2</v>
      </c>
      <c r="D19" s="3" t="s">
        <v>819</v>
      </c>
      <c r="E19" s="3"/>
    </row>
    <row r="20" spans="1:5" x14ac:dyDescent="0.25">
      <c r="A20" s="3" t="s">
        <v>497</v>
      </c>
      <c r="B20" s="3">
        <v>261</v>
      </c>
      <c r="C20" s="3">
        <v>1</v>
      </c>
      <c r="D20" s="3" t="s">
        <v>494</v>
      </c>
      <c r="E20" s="3"/>
    </row>
    <row r="21" spans="1:5" x14ac:dyDescent="0.25">
      <c r="A21" s="3" t="s">
        <v>915</v>
      </c>
      <c r="B21" s="3">
        <v>238</v>
      </c>
      <c r="C21" s="3">
        <v>1</v>
      </c>
      <c r="D21" s="3" t="s">
        <v>912</v>
      </c>
      <c r="E21" s="3"/>
    </row>
    <row r="22" spans="1:5" x14ac:dyDescent="0.25">
      <c r="A22" s="3" t="s">
        <v>542</v>
      </c>
      <c r="B22" s="3">
        <v>214</v>
      </c>
      <c r="C22" s="3">
        <v>2</v>
      </c>
      <c r="D22" s="3" t="s">
        <v>541</v>
      </c>
      <c r="E22" s="3"/>
    </row>
    <row r="23" spans="1:5" x14ac:dyDescent="0.25">
      <c r="A23" s="3" t="s">
        <v>38</v>
      </c>
      <c r="B23" s="3">
        <v>175</v>
      </c>
      <c r="C23" s="3">
        <v>2</v>
      </c>
      <c r="D23" s="3" t="s">
        <v>36</v>
      </c>
      <c r="E23" s="3"/>
    </row>
    <row r="24" spans="1:5" x14ac:dyDescent="0.25">
      <c r="A24" s="3" t="s">
        <v>581</v>
      </c>
      <c r="B24" s="3">
        <v>143</v>
      </c>
      <c r="C24" s="3">
        <v>1</v>
      </c>
      <c r="D24" s="3" t="s">
        <v>582</v>
      </c>
      <c r="E2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C1D74-48CA-4ECD-B37E-FE00D339866A}">
  <dimension ref="A3:C327"/>
  <sheetViews>
    <sheetView workbookViewId="0">
      <selection activeCell="G26" sqref="G26"/>
    </sheetView>
  </sheetViews>
  <sheetFormatPr defaultRowHeight="15" x14ac:dyDescent="0.25"/>
  <cols>
    <col min="1" max="1" width="51.42578125" customWidth="1"/>
    <col min="2" max="2" width="9.85546875" bestFit="1" customWidth="1"/>
    <col min="3" max="3" width="12.140625" bestFit="1" customWidth="1"/>
  </cols>
  <sheetData>
    <row r="3" spans="1:3" x14ac:dyDescent="0.25">
      <c r="A3" s="14" t="s">
        <v>941</v>
      </c>
      <c r="B3" t="s">
        <v>944</v>
      </c>
      <c r="C3" t="s">
        <v>945</v>
      </c>
    </row>
    <row r="4" spans="1:3" x14ac:dyDescent="0.25">
      <c r="A4" s="16">
        <v>45992</v>
      </c>
      <c r="B4" s="15">
        <v>3000</v>
      </c>
      <c r="C4" s="15">
        <v>152</v>
      </c>
    </row>
    <row r="5" spans="1:3" x14ac:dyDescent="0.25">
      <c r="A5" s="17" t="s">
        <v>319</v>
      </c>
      <c r="B5" s="15">
        <v>62</v>
      </c>
      <c r="C5" s="15">
        <v>1</v>
      </c>
    </row>
    <row r="6" spans="1:3" x14ac:dyDescent="0.25">
      <c r="A6" s="17" t="s">
        <v>132</v>
      </c>
      <c r="B6" s="15">
        <v>2810</v>
      </c>
      <c r="C6" s="15">
        <v>149</v>
      </c>
    </row>
    <row r="7" spans="1:3" x14ac:dyDescent="0.25">
      <c r="A7" s="17" t="s">
        <v>154</v>
      </c>
      <c r="B7" s="15">
        <v>0</v>
      </c>
      <c r="C7" s="15">
        <v>0</v>
      </c>
    </row>
    <row r="8" spans="1:3" x14ac:dyDescent="0.25">
      <c r="A8" s="17" t="s">
        <v>152</v>
      </c>
      <c r="B8" s="15">
        <v>0</v>
      </c>
      <c r="C8" s="15">
        <v>0</v>
      </c>
    </row>
    <row r="9" spans="1:3" x14ac:dyDescent="0.25">
      <c r="A9" s="17" t="s">
        <v>165</v>
      </c>
      <c r="B9" s="15">
        <v>0</v>
      </c>
      <c r="C9" s="15">
        <v>0</v>
      </c>
    </row>
    <row r="10" spans="1:3" x14ac:dyDescent="0.25">
      <c r="A10" s="17" t="s">
        <v>155</v>
      </c>
      <c r="B10" s="15">
        <v>0</v>
      </c>
      <c r="C10" s="15">
        <v>0</v>
      </c>
    </row>
    <row r="11" spans="1:3" x14ac:dyDescent="0.25">
      <c r="A11" s="17" t="s">
        <v>674</v>
      </c>
      <c r="B11" s="15">
        <v>0</v>
      </c>
      <c r="C11" s="15">
        <v>0</v>
      </c>
    </row>
    <row r="12" spans="1:3" x14ac:dyDescent="0.25">
      <c r="A12" s="17" t="s">
        <v>159</v>
      </c>
      <c r="B12" s="15">
        <v>0</v>
      </c>
      <c r="C12" s="15">
        <v>0</v>
      </c>
    </row>
    <row r="13" spans="1:3" x14ac:dyDescent="0.25">
      <c r="A13" s="17" t="s">
        <v>156</v>
      </c>
      <c r="B13" s="15">
        <v>0</v>
      </c>
      <c r="C13" s="15">
        <v>0</v>
      </c>
    </row>
    <row r="14" spans="1:3" x14ac:dyDescent="0.25">
      <c r="A14" s="17" t="s">
        <v>423</v>
      </c>
      <c r="B14" s="15">
        <v>15</v>
      </c>
      <c r="C14" s="15">
        <v>1</v>
      </c>
    </row>
    <row r="15" spans="1:3" x14ac:dyDescent="0.25">
      <c r="A15" s="17" t="s">
        <v>495</v>
      </c>
      <c r="B15" s="15">
        <v>113</v>
      </c>
      <c r="C15" s="15">
        <v>1</v>
      </c>
    </row>
    <row r="16" spans="1:3" x14ac:dyDescent="0.25">
      <c r="A16" s="16" t="s">
        <v>942</v>
      </c>
      <c r="B16" s="15">
        <v>3000</v>
      </c>
      <c r="C16" s="15">
        <v>152</v>
      </c>
    </row>
    <row r="18" spans="1:3" x14ac:dyDescent="0.25">
      <c r="A18" s="14" t="s">
        <v>941</v>
      </c>
      <c r="B18" s="14" t="s">
        <v>944</v>
      </c>
      <c r="C18" t="s">
        <v>945</v>
      </c>
    </row>
    <row r="19" spans="1:3" x14ac:dyDescent="0.25">
      <c r="A19" s="16">
        <v>45992</v>
      </c>
      <c r="B19" s="15">
        <v>0</v>
      </c>
      <c r="C19" s="15">
        <v>0</v>
      </c>
    </row>
    <row r="20" spans="1:3" x14ac:dyDescent="0.25">
      <c r="A20" s="17" t="s">
        <v>153</v>
      </c>
      <c r="B20" s="15">
        <v>0</v>
      </c>
      <c r="C20" s="15">
        <v>0</v>
      </c>
    </row>
    <row r="21" spans="1:3" x14ac:dyDescent="0.25">
      <c r="A21" s="17" t="s">
        <v>143</v>
      </c>
      <c r="B21" s="15">
        <v>0</v>
      </c>
      <c r="C21" s="15">
        <v>0</v>
      </c>
    </row>
    <row r="22" spans="1:3" x14ac:dyDescent="0.25">
      <c r="A22" s="17" t="s">
        <v>778</v>
      </c>
      <c r="B22" s="15">
        <v>0</v>
      </c>
      <c r="C22" s="15">
        <v>0</v>
      </c>
    </row>
    <row r="23" spans="1:3" x14ac:dyDescent="0.25">
      <c r="A23" s="16" t="s">
        <v>942</v>
      </c>
      <c r="B23" s="15">
        <v>0</v>
      </c>
      <c r="C23" s="15">
        <v>0</v>
      </c>
    </row>
    <row r="25" spans="1:3" x14ac:dyDescent="0.25">
      <c r="A25" s="22" t="s">
        <v>946</v>
      </c>
    </row>
    <row r="26" spans="1:3" x14ac:dyDescent="0.25">
      <c r="A26" s="18" t="s">
        <v>4</v>
      </c>
      <c r="B26" s="19" t="s">
        <v>17</v>
      </c>
      <c r="C26" s="19"/>
    </row>
    <row r="27" spans="1:3" x14ac:dyDescent="0.25">
      <c r="A27" s="19"/>
      <c r="B27" s="19"/>
      <c r="C27" s="19"/>
    </row>
    <row r="28" spans="1:3" ht="45" x14ac:dyDescent="0.25">
      <c r="A28" s="18" t="s">
        <v>941</v>
      </c>
      <c r="B28" s="19" t="s">
        <v>943</v>
      </c>
      <c r="C28" s="19" t="s">
        <v>944</v>
      </c>
    </row>
    <row r="29" spans="1:3" ht="30" x14ac:dyDescent="0.25">
      <c r="A29" s="20" t="s">
        <v>182</v>
      </c>
      <c r="B29" s="21">
        <v>1</v>
      </c>
      <c r="C29" s="21">
        <v>0</v>
      </c>
    </row>
    <row r="30" spans="1:3" ht="30" x14ac:dyDescent="0.25">
      <c r="A30" s="20" t="s">
        <v>215</v>
      </c>
      <c r="B30" s="21">
        <v>1</v>
      </c>
      <c r="C30" s="21">
        <v>11</v>
      </c>
    </row>
    <row r="31" spans="1:3" ht="30" x14ac:dyDescent="0.25">
      <c r="A31" s="20" t="s">
        <v>821</v>
      </c>
      <c r="B31" s="21">
        <v>1</v>
      </c>
      <c r="C31" s="21">
        <v>280</v>
      </c>
    </row>
    <row r="32" spans="1:3" ht="30" x14ac:dyDescent="0.25">
      <c r="A32" s="20" t="s">
        <v>22</v>
      </c>
      <c r="B32" s="21">
        <v>1</v>
      </c>
      <c r="C32" s="21">
        <v>0</v>
      </c>
    </row>
    <row r="33" spans="1:3" ht="30" x14ac:dyDescent="0.25">
      <c r="A33" s="20" t="s">
        <v>545</v>
      </c>
      <c r="B33" s="21">
        <v>1</v>
      </c>
      <c r="C33" s="21">
        <v>12</v>
      </c>
    </row>
    <row r="34" spans="1:3" ht="45" x14ac:dyDescent="0.25">
      <c r="A34" s="20" t="s">
        <v>763</v>
      </c>
      <c r="B34" s="21">
        <v>1</v>
      </c>
      <c r="C34" s="21">
        <v>0</v>
      </c>
    </row>
    <row r="35" spans="1:3" ht="30" x14ac:dyDescent="0.25">
      <c r="A35" s="20" t="s">
        <v>818</v>
      </c>
      <c r="B35" s="21">
        <v>1</v>
      </c>
      <c r="C35" s="21">
        <v>80</v>
      </c>
    </row>
    <row r="36" spans="1:3" ht="90" x14ac:dyDescent="0.25">
      <c r="A36" s="20" t="s">
        <v>294</v>
      </c>
      <c r="B36" s="21">
        <v>1</v>
      </c>
      <c r="C36" s="21">
        <v>5</v>
      </c>
    </row>
    <row r="37" spans="1:3" ht="45" x14ac:dyDescent="0.25">
      <c r="A37" s="20" t="s">
        <v>400</v>
      </c>
      <c r="B37" s="21">
        <v>1</v>
      </c>
      <c r="C37" s="21">
        <v>87</v>
      </c>
    </row>
    <row r="38" spans="1:3" ht="75" x14ac:dyDescent="0.25">
      <c r="A38" s="20" t="s">
        <v>151</v>
      </c>
      <c r="B38" s="21">
        <v>1</v>
      </c>
      <c r="C38" s="21">
        <v>0</v>
      </c>
    </row>
    <row r="39" spans="1:3" ht="30" x14ac:dyDescent="0.25">
      <c r="A39" s="20" t="s">
        <v>450</v>
      </c>
      <c r="B39" s="21">
        <v>1</v>
      </c>
      <c r="C39" s="21">
        <v>0</v>
      </c>
    </row>
    <row r="40" spans="1:3" ht="30" x14ac:dyDescent="0.25">
      <c r="A40" s="20" t="s">
        <v>603</v>
      </c>
      <c r="B40" s="21">
        <v>2</v>
      </c>
      <c r="C40" s="21">
        <v>8</v>
      </c>
    </row>
    <row r="41" spans="1:3" ht="60" x14ac:dyDescent="0.25">
      <c r="A41" s="20" t="s">
        <v>605</v>
      </c>
      <c r="B41" s="21">
        <v>1</v>
      </c>
      <c r="C41" s="21">
        <v>0</v>
      </c>
    </row>
    <row r="42" spans="1:3" ht="45" x14ac:dyDescent="0.25">
      <c r="A42" s="20" t="s">
        <v>754</v>
      </c>
      <c r="B42" s="21">
        <v>1</v>
      </c>
      <c r="C42" s="21">
        <v>23</v>
      </c>
    </row>
    <row r="43" spans="1:3" ht="30" x14ac:dyDescent="0.25">
      <c r="A43" s="20" t="s">
        <v>547</v>
      </c>
      <c r="B43" s="21">
        <v>1</v>
      </c>
      <c r="C43" s="21">
        <v>0</v>
      </c>
    </row>
    <row r="44" spans="1:3" ht="30" x14ac:dyDescent="0.25">
      <c r="A44" s="20" t="s">
        <v>691</v>
      </c>
      <c r="B44" s="21">
        <v>1</v>
      </c>
      <c r="C44" s="21">
        <v>9</v>
      </c>
    </row>
    <row r="45" spans="1:3" ht="30" x14ac:dyDescent="0.25">
      <c r="A45" s="20" t="s">
        <v>742</v>
      </c>
      <c r="B45" s="21">
        <v>1</v>
      </c>
      <c r="C45" s="21">
        <v>5</v>
      </c>
    </row>
    <row r="46" spans="1:3" ht="30" x14ac:dyDescent="0.25">
      <c r="A46" s="20" t="s">
        <v>709</v>
      </c>
      <c r="B46" s="21">
        <v>1</v>
      </c>
      <c r="C46" s="21">
        <v>0</v>
      </c>
    </row>
    <row r="47" spans="1:3" ht="30" x14ac:dyDescent="0.25">
      <c r="A47" s="20" t="s">
        <v>222</v>
      </c>
      <c r="B47" s="21">
        <v>2</v>
      </c>
      <c r="C47" s="21">
        <v>8</v>
      </c>
    </row>
    <row r="48" spans="1:3" x14ac:dyDescent="0.25">
      <c r="A48" s="20" t="s">
        <v>856</v>
      </c>
      <c r="B48" s="21">
        <v>1</v>
      </c>
      <c r="C48" s="21">
        <v>0</v>
      </c>
    </row>
    <row r="49" spans="1:3" x14ac:dyDescent="0.25">
      <c r="A49" s="20" t="s">
        <v>791</v>
      </c>
      <c r="B49" s="21">
        <v>1</v>
      </c>
      <c r="C49" s="21">
        <v>44</v>
      </c>
    </row>
    <row r="50" spans="1:3" ht="75" x14ac:dyDescent="0.25">
      <c r="A50" s="20" t="s">
        <v>746</v>
      </c>
      <c r="B50" s="21">
        <v>1</v>
      </c>
      <c r="C50" s="21">
        <v>3</v>
      </c>
    </row>
    <row r="51" spans="1:3" ht="60" x14ac:dyDescent="0.25">
      <c r="A51" s="20" t="s">
        <v>362</v>
      </c>
      <c r="B51" s="21">
        <v>1</v>
      </c>
      <c r="C51" s="21">
        <v>67</v>
      </c>
    </row>
    <row r="52" spans="1:3" ht="30" x14ac:dyDescent="0.25">
      <c r="A52" s="20" t="s">
        <v>205</v>
      </c>
      <c r="B52" s="21">
        <v>1</v>
      </c>
      <c r="C52" s="21">
        <v>0</v>
      </c>
    </row>
    <row r="53" spans="1:3" ht="30" x14ac:dyDescent="0.25">
      <c r="A53" s="20" t="s">
        <v>808</v>
      </c>
      <c r="B53" s="21">
        <v>1</v>
      </c>
      <c r="C53" s="21">
        <v>93</v>
      </c>
    </row>
    <row r="54" spans="1:3" x14ac:dyDescent="0.25">
      <c r="A54" s="20" t="s">
        <v>460</v>
      </c>
      <c r="B54" s="21">
        <v>1</v>
      </c>
      <c r="C54" s="21">
        <v>8</v>
      </c>
    </row>
    <row r="55" spans="1:3" x14ac:dyDescent="0.25">
      <c r="A55" s="20" t="s">
        <v>79</v>
      </c>
      <c r="B55" s="21">
        <v>1</v>
      </c>
      <c r="C55" s="21">
        <v>7</v>
      </c>
    </row>
    <row r="56" spans="1:3" ht="30" x14ac:dyDescent="0.25">
      <c r="A56" s="20" t="s">
        <v>620</v>
      </c>
      <c r="B56" s="21">
        <v>1</v>
      </c>
      <c r="C56" s="21">
        <v>0</v>
      </c>
    </row>
    <row r="57" spans="1:3" ht="30" x14ac:dyDescent="0.25">
      <c r="A57" s="20" t="s">
        <v>366</v>
      </c>
      <c r="B57" s="21">
        <v>1</v>
      </c>
      <c r="C57" s="21">
        <v>36</v>
      </c>
    </row>
    <row r="58" spans="1:3" x14ac:dyDescent="0.25">
      <c r="A58" s="20" t="s">
        <v>631</v>
      </c>
      <c r="B58" s="21">
        <v>1</v>
      </c>
      <c r="C58" s="21">
        <v>12</v>
      </c>
    </row>
    <row r="59" spans="1:3" x14ac:dyDescent="0.25">
      <c r="A59" s="20" t="s">
        <v>410</v>
      </c>
      <c r="B59" s="21">
        <v>1</v>
      </c>
      <c r="C59" s="21">
        <v>7</v>
      </c>
    </row>
    <row r="60" spans="1:3" x14ac:dyDescent="0.25">
      <c r="A60" s="20" t="s">
        <v>866</v>
      </c>
      <c r="B60" s="21">
        <v>1</v>
      </c>
      <c r="C60" s="21">
        <v>0</v>
      </c>
    </row>
    <row r="61" spans="1:3" ht="30" x14ac:dyDescent="0.25">
      <c r="A61" s="20" t="s">
        <v>645</v>
      </c>
      <c r="B61" s="21">
        <v>1</v>
      </c>
      <c r="C61" s="21">
        <v>112</v>
      </c>
    </row>
    <row r="62" spans="1:3" ht="30" x14ac:dyDescent="0.25">
      <c r="A62" s="20" t="s">
        <v>459</v>
      </c>
      <c r="B62" s="21">
        <v>1</v>
      </c>
      <c r="C62" s="21">
        <v>8</v>
      </c>
    </row>
    <row r="63" spans="1:3" ht="60" x14ac:dyDescent="0.25">
      <c r="A63" s="20" t="s">
        <v>443</v>
      </c>
      <c r="B63" s="21">
        <v>1</v>
      </c>
      <c r="C63" s="21">
        <v>31</v>
      </c>
    </row>
    <row r="64" spans="1:3" x14ac:dyDescent="0.25">
      <c r="A64" s="20" t="s">
        <v>76</v>
      </c>
      <c r="B64" s="21">
        <v>1</v>
      </c>
      <c r="C64" s="21">
        <v>24</v>
      </c>
    </row>
    <row r="65" spans="1:3" x14ac:dyDescent="0.25">
      <c r="A65" s="20" t="s">
        <v>525</v>
      </c>
      <c r="B65" s="21">
        <v>1</v>
      </c>
      <c r="C65" s="21">
        <v>0</v>
      </c>
    </row>
    <row r="66" spans="1:3" ht="30" x14ac:dyDescent="0.25">
      <c r="A66" s="20" t="s">
        <v>50</v>
      </c>
      <c r="B66" s="21">
        <v>1</v>
      </c>
      <c r="C66" s="21">
        <v>4</v>
      </c>
    </row>
    <row r="67" spans="1:3" ht="30" x14ac:dyDescent="0.25">
      <c r="A67" s="20" t="s">
        <v>44</v>
      </c>
      <c r="B67" s="21">
        <v>1</v>
      </c>
      <c r="C67" s="21">
        <v>118</v>
      </c>
    </row>
    <row r="68" spans="1:3" ht="30" x14ac:dyDescent="0.25">
      <c r="A68" s="20" t="s">
        <v>42</v>
      </c>
      <c r="B68" s="21">
        <v>1</v>
      </c>
      <c r="C68" s="21">
        <v>33</v>
      </c>
    </row>
    <row r="69" spans="1:3" ht="30" x14ac:dyDescent="0.25">
      <c r="A69" s="20" t="s">
        <v>35</v>
      </c>
      <c r="B69" s="21">
        <v>1</v>
      </c>
      <c r="C69" s="21">
        <v>12</v>
      </c>
    </row>
    <row r="70" spans="1:3" x14ac:dyDescent="0.25">
      <c r="A70" s="20" t="s">
        <v>157</v>
      </c>
      <c r="B70" s="21">
        <v>1</v>
      </c>
      <c r="C70" s="21">
        <v>0</v>
      </c>
    </row>
    <row r="71" spans="1:3" ht="90" x14ac:dyDescent="0.25">
      <c r="A71" s="20" t="s">
        <v>516</v>
      </c>
      <c r="B71" s="21">
        <v>1</v>
      </c>
      <c r="C71" s="21">
        <v>0</v>
      </c>
    </row>
    <row r="72" spans="1:3" ht="75" x14ac:dyDescent="0.25">
      <c r="A72" s="20" t="s">
        <v>883</v>
      </c>
      <c r="B72" s="21">
        <v>1</v>
      </c>
      <c r="C72" s="21">
        <v>1606</v>
      </c>
    </row>
    <row r="73" spans="1:3" ht="90" x14ac:dyDescent="0.25">
      <c r="A73" s="20" t="s">
        <v>507</v>
      </c>
      <c r="B73" s="21">
        <v>1</v>
      </c>
      <c r="C73" s="21">
        <v>0</v>
      </c>
    </row>
    <row r="74" spans="1:3" ht="75" x14ac:dyDescent="0.25">
      <c r="A74" s="20" t="s">
        <v>880</v>
      </c>
      <c r="B74" s="21">
        <v>1</v>
      </c>
      <c r="C74" s="21">
        <v>1808</v>
      </c>
    </row>
    <row r="75" spans="1:3" ht="30" x14ac:dyDescent="0.25">
      <c r="A75" s="20" t="s">
        <v>744</v>
      </c>
      <c r="B75" s="21">
        <v>1</v>
      </c>
      <c r="C75" s="21">
        <v>1</v>
      </c>
    </row>
    <row r="76" spans="1:3" ht="30" x14ac:dyDescent="0.25">
      <c r="A76" s="20" t="s">
        <v>601</v>
      </c>
      <c r="B76" s="21">
        <v>1</v>
      </c>
      <c r="C76" s="21">
        <v>7</v>
      </c>
    </row>
    <row r="77" spans="1:3" ht="30" x14ac:dyDescent="0.25">
      <c r="A77" s="20" t="s">
        <v>73</v>
      </c>
      <c r="B77" s="21">
        <v>1</v>
      </c>
      <c r="C77" s="21">
        <v>5</v>
      </c>
    </row>
    <row r="78" spans="1:3" x14ac:dyDescent="0.25">
      <c r="A78" s="20" t="s">
        <v>320</v>
      </c>
      <c r="B78" s="21">
        <v>1</v>
      </c>
      <c r="C78" s="21">
        <v>62</v>
      </c>
    </row>
    <row r="79" spans="1:3" x14ac:dyDescent="0.25">
      <c r="A79" s="20" t="s">
        <v>69</v>
      </c>
      <c r="B79" s="21">
        <v>1</v>
      </c>
      <c r="C79" s="21">
        <v>36</v>
      </c>
    </row>
    <row r="80" spans="1:3" x14ac:dyDescent="0.25">
      <c r="A80" s="20" t="s">
        <v>261</v>
      </c>
      <c r="B80" s="21">
        <v>1</v>
      </c>
      <c r="C80" s="21">
        <v>2</v>
      </c>
    </row>
    <row r="81" spans="1:3" ht="30" x14ac:dyDescent="0.25">
      <c r="A81" s="20" t="s">
        <v>720</v>
      </c>
      <c r="B81" s="21">
        <v>1</v>
      </c>
      <c r="C81" s="21">
        <v>0</v>
      </c>
    </row>
    <row r="82" spans="1:3" ht="30" x14ac:dyDescent="0.25">
      <c r="A82" s="20" t="s">
        <v>62</v>
      </c>
      <c r="B82" s="21">
        <v>1</v>
      </c>
      <c r="C82" s="21">
        <v>3</v>
      </c>
    </row>
    <row r="83" spans="1:3" ht="60" x14ac:dyDescent="0.25">
      <c r="A83" s="20" t="s">
        <v>622</v>
      </c>
      <c r="B83" s="21">
        <v>1</v>
      </c>
      <c r="C83" s="21">
        <v>0</v>
      </c>
    </row>
    <row r="84" spans="1:3" ht="45" x14ac:dyDescent="0.25">
      <c r="A84" s="20" t="s">
        <v>232</v>
      </c>
      <c r="B84" s="21">
        <v>1</v>
      </c>
      <c r="C84" s="21">
        <v>50</v>
      </c>
    </row>
    <row r="85" spans="1:3" ht="30" x14ac:dyDescent="0.25">
      <c r="A85" s="20" t="s">
        <v>496</v>
      </c>
      <c r="B85" s="21">
        <v>1</v>
      </c>
      <c r="C85" s="21">
        <v>113</v>
      </c>
    </row>
    <row r="86" spans="1:3" ht="30" x14ac:dyDescent="0.25">
      <c r="A86" s="20" t="s">
        <v>203</v>
      </c>
      <c r="B86" s="21">
        <v>1</v>
      </c>
      <c r="C86" s="21">
        <v>0</v>
      </c>
    </row>
    <row r="87" spans="1:3" ht="30" x14ac:dyDescent="0.25">
      <c r="A87" s="20" t="s">
        <v>670</v>
      </c>
      <c r="B87" s="21">
        <v>1</v>
      </c>
      <c r="C87" s="21">
        <v>40</v>
      </c>
    </row>
    <row r="88" spans="1:3" ht="30" x14ac:dyDescent="0.25">
      <c r="A88" s="20" t="s">
        <v>268</v>
      </c>
      <c r="B88" s="21">
        <v>1</v>
      </c>
      <c r="C88" s="21">
        <v>0</v>
      </c>
    </row>
    <row r="89" spans="1:3" ht="30" x14ac:dyDescent="0.25">
      <c r="A89" s="20" t="s">
        <v>512</v>
      </c>
      <c r="B89" s="21">
        <v>1</v>
      </c>
      <c r="C89" s="21">
        <v>0</v>
      </c>
    </row>
    <row r="90" spans="1:3" ht="30" x14ac:dyDescent="0.25">
      <c r="A90" s="20" t="s">
        <v>527</v>
      </c>
      <c r="B90" s="21">
        <v>1</v>
      </c>
      <c r="C90" s="21">
        <v>9</v>
      </c>
    </row>
    <row r="91" spans="1:3" x14ac:dyDescent="0.25">
      <c r="A91" s="20" t="s">
        <v>480</v>
      </c>
      <c r="B91" s="21">
        <v>1</v>
      </c>
      <c r="C91" s="21">
        <v>0</v>
      </c>
    </row>
    <row r="92" spans="1:3" ht="30" x14ac:dyDescent="0.25">
      <c r="A92" s="20" t="s">
        <v>78</v>
      </c>
      <c r="B92" s="21">
        <v>1</v>
      </c>
      <c r="C92" s="21">
        <v>30</v>
      </c>
    </row>
    <row r="93" spans="1:3" x14ac:dyDescent="0.25">
      <c r="A93" s="20" t="s">
        <v>462</v>
      </c>
      <c r="B93" s="21">
        <v>1</v>
      </c>
      <c r="C93" s="21">
        <v>0</v>
      </c>
    </row>
    <row r="94" spans="1:3" ht="60" x14ac:dyDescent="0.25">
      <c r="A94" s="20" t="s">
        <v>472</v>
      </c>
      <c r="B94" s="21">
        <v>1</v>
      </c>
      <c r="C94" s="21">
        <v>8</v>
      </c>
    </row>
    <row r="95" spans="1:3" ht="45" x14ac:dyDescent="0.25">
      <c r="A95" s="20" t="s">
        <v>611</v>
      </c>
      <c r="B95" s="21">
        <v>1</v>
      </c>
      <c r="C95" s="21">
        <v>0</v>
      </c>
    </row>
    <row r="96" spans="1:3" ht="30" x14ac:dyDescent="0.25">
      <c r="A96" s="20" t="s">
        <v>681</v>
      </c>
      <c r="B96" s="21">
        <v>1</v>
      </c>
      <c r="C96" s="21">
        <v>23</v>
      </c>
    </row>
    <row r="97" spans="1:3" x14ac:dyDescent="0.25">
      <c r="A97" s="20" t="s">
        <v>518</v>
      </c>
      <c r="B97" s="21">
        <v>1</v>
      </c>
      <c r="C97" s="21">
        <v>378</v>
      </c>
    </row>
    <row r="98" spans="1:3" ht="30" x14ac:dyDescent="0.25">
      <c r="A98" s="20" t="s">
        <v>67</v>
      </c>
      <c r="B98" s="21">
        <v>1</v>
      </c>
      <c r="C98" s="21">
        <v>2</v>
      </c>
    </row>
    <row r="99" spans="1:3" ht="30" x14ac:dyDescent="0.25">
      <c r="A99" s="20" t="s">
        <v>498</v>
      </c>
      <c r="B99" s="21">
        <v>1</v>
      </c>
      <c r="C99" s="21">
        <v>261</v>
      </c>
    </row>
    <row r="100" spans="1:3" ht="30" x14ac:dyDescent="0.25">
      <c r="A100" s="20" t="s">
        <v>677</v>
      </c>
      <c r="B100" s="21">
        <v>1</v>
      </c>
      <c r="C100" s="21">
        <v>0</v>
      </c>
    </row>
    <row r="101" spans="1:3" ht="60" x14ac:dyDescent="0.25">
      <c r="A101" s="20" t="s">
        <v>94</v>
      </c>
      <c r="B101" s="21">
        <v>1</v>
      </c>
      <c r="C101" s="21">
        <v>2</v>
      </c>
    </row>
    <row r="102" spans="1:3" ht="30" x14ac:dyDescent="0.25">
      <c r="A102" s="20" t="s">
        <v>369</v>
      </c>
      <c r="B102" s="21">
        <v>1</v>
      </c>
      <c r="C102" s="21">
        <v>43</v>
      </c>
    </row>
    <row r="103" spans="1:3" ht="30" x14ac:dyDescent="0.25">
      <c r="A103" s="20" t="s">
        <v>424</v>
      </c>
      <c r="B103" s="21">
        <v>1</v>
      </c>
      <c r="C103" s="21">
        <v>15</v>
      </c>
    </row>
    <row r="104" spans="1:3" ht="30" x14ac:dyDescent="0.25">
      <c r="A104" s="20" t="s">
        <v>609</v>
      </c>
      <c r="B104" s="21">
        <v>1</v>
      </c>
      <c r="C104" s="21">
        <v>0</v>
      </c>
    </row>
    <row r="105" spans="1:3" ht="30" x14ac:dyDescent="0.25">
      <c r="A105" s="20" t="s">
        <v>827</v>
      </c>
      <c r="B105" s="21">
        <v>1</v>
      </c>
      <c r="C105" s="21">
        <v>0</v>
      </c>
    </row>
    <row r="106" spans="1:3" ht="30" x14ac:dyDescent="0.25">
      <c r="A106" s="20" t="s">
        <v>540</v>
      </c>
      <c r="B106" s="21">
        <v>1</v>
      </c>
      <c r="C106" s="21">
        <v>302</v>
      </c>
    </row>
    <row r="107" spans="1:3" ht="30" x14ac:dyDescent="0.25">
      <c r="A107" s="20" t="s">
        <v>543</v>
      </c>
      <c r="B107" s="21">
        <v>1</v>
      </c>
      <c r="C107" s="21">
        <v>214</v>
      </c>
    </row>
    <row r="108" spans="1:3" ht="75" x14ac:dyDescent="0.25">
      <c r="A108" s="20" t="s">
        <v>303</v>
      </c>
      <c r="B108" s="21">
        <v>1</v>
      </c>
      <c r="C108" s="21">
        <v>0</v>
      </c>
    </row>
    <row r="109" spans="1:3" ht="75" x14ac:dyDescent="0.25">
      <c r="A109" s="20" t="s">
        <v>663</v>
      </c>
      <c r="B109" s="21">
        <v>1</v>
      </c>
      <c r="C109" s="21">
        <v>124</v>
      </c>
    </row>
    <row r="110" spans="1:3" x14ac:dyDescent="0.25">
      <c r="A110" s="20" t="s">
        <v>696</v>
      </c>
      <c r="B110" s="21">
        <v>1</v>
      </c>
      <c r="C110" s="21">
        <v>62</v>
      </c>
    </row>
    <row r="111" spans="1:3" ht="30" x14ac:dyDescent="0.25">
      <c r="A111" s="20" t="s">
        <v>846</v>
      </c>
      <c r="B111" s="21">
        <v>1</v>
      </c>
      <c r="C111" s="21">
        <v>1</v>
      </c>
    </row>
    <row r="112" spans="1:3" ht="30" x14ac:dyDescent="0.25">
      <c r="A112" s="20" t="s">
        <v>673</v>
      </c>
      <c r="B112" s="21">
        <v>1</v>
      </c>
      <c r="C112" s="21">
        <v>0</v>
      </c>
    </row>
    <row r="113" spans="1:3" x14ac:dyDescent="0.25">
      <c r="A113" s="20" t="s">
        <v>893</v>
      </c>
      <c r="B113" s="21">
        <v>1</v>
      </c>
      <c r="C113" s="21">
        <v>2</v>
      </c>
    </row>
    <row r="114" spans="1:3" x14ac:dyDescent="0.25">
      <c r="A114" s="20" t="s">
        <v>323</v>
      </c>
      <c r="B114" s="21">
        <v>1</v>
      </c>
      <c r="C114" s="21">
        <v>0</v>
      </c>
    </row>
    <row r="115" spans="1:3" ht="30" x14ac:dyDescent="0.25">
      <c r="A115" s="20" t="s">
        <v>402</v>
      </c>
      <c r="B115" s="21">
        <v>1</v>
      </c>
      <c r="C115" s="21">
        <v>0</v>
      </c>
    </row>
    <row r="116" spans="1:3" ht="30" x14ac:dyDescent="0.25">
      <c r="A116" s="20" t="s">
        <v>208</v>
      </c>
      <c r="B116" s="21">
        <v>1</v>
      </c>
      <c r="C116" s="21">
        <v>0</v>
      </c>
    </row>
    <row r="117" spans="1:3" ht="30" x14ac:dyDescent="0.25">
      <c r="A117" s="20" t="s">
        <v>431</v>
      </c>
      <c r="B117" s="21">
        <v>1</v>
      </c>
      <c r="C117" s="21">
        <v>0</v>
      </c>
    </row>
    <row r="118" spans="1:3" ht="30" x14ac:dyDescent="0.25">
      <c r="A118" s="20" t="s">
        <v>136</v>
      </c>
      <c r="B118" s="21">
        <v>1</v>
      </c>
      <c r="C118" s="21">
        <v>277</v>
      </c>
    </row>
    <row r="119" spans="1:3" x14ac:dyDescent="0.25">
      <c r="A119" s="20" t="s">
        <v>146</v>
      </c>
      <c r="B119" s="21">
        <v>1</v>
      </c>
      <c r="C119" s="21">
        <v>0</v>
      </c>
    </row>
    <row r="120" spans="1:3" ht="30" x14ac:dyDescent="0.25">
      <c r="A120" s="20" t="s">
        <v>168</v>
      </c>
      <c r="B120" s="21">
        <v>1</v>
      </c>
      <c r="C120" s="21">
        <v>0</v>
      </c>
    </row>
    <row r="121" spans="1:3" ht="30" x14ac:dyDescent="0.25">
      <c r="A121" s="20" t="s">
        <v>164</v>
      </c>
      <c r="B121" s="21">
        <v>1</v>
      </c>
      <c r="C121" s="21">
        <v>0</v>
      </c>
    </row>
    <row r="122" spans="1:3" ht="30" x14ac:dyDescent="0.25">
      <c r="A122" s="20" t="s">
        <v>161</v>
      </c>
      <c r="B122" s="21">
        <v>1</v>
      </c>
      <c r="C122" s="21">
        <v>0</v>
      </c>
    </row>
    <row r="123" spans="1:3" ht="30" x14ac:dyDescent="0.25">
      <c r="A123" s="20" t="s">
        <v>291</v>
      </c>
      <c r="B123" s="21">
        <v>1</v>
      </c>
      <c r="C123" s="21">
        <v>4</v>
      </c>
    </row>
    <row r="124" spans="1:3" ht="45" x14ac:dyDescent="0.25">
      <c r="A124" s="20" t="s">
        <v>359</v>
      </c>
      <c r="B124" s="21">
        <v>1</v>
      </c>
      <c r="C124" s="21">
        <v>0</v>
      </c>
    </row>
    <row r="125" spans="1:3" ht="30" x14ac:dyDescent="0.25">
      <c r="A125" s="20" t="s">
        <v>318</v>
      </c>
      <c r="B125" s="21">
        <v>1</v>
      </c>
      <c r="C125" s="21">
        <v>0</v>
      </c>
    </row>
    <row r="126" spans="1:3" ht="30" x14ac:dyDescent="0.25">
      <c r="A126" s="20" t="s">
        <v>308</v>
      </c>
      <c r="B126" s="21">
        <v>1</v>
      </c>
      <c r="C126" s="21">
        <v>3</v>
      </c>
    </row>
    <row r="127" spans="1:3" ht="30" x14ac:dyDescent="0.25">
      <c r="A127" s="20" t="s">
        <v>311</v>
      </c>
      <c r="B127" s="21">
        <v>1</v>
      </c>
      <c r="C127" s="21">
        <v>21</v>
      </c>
    </row>
    <row r="128" spans="1:3" ht="75" x14ac:dyDescent="0.25">
      <c r="A128" s="20" t="s">
        <v>138</v>
      </c>
      <c r="B128" s="21">
        <v>3</v>
      </c>
      <c r="C128" s="21">
        <v>93</v>
      </c>
    </row>
    <row r="129" spans="1:3" x14ac:dyDescent="0.25">
      <c r="A129" s="20" t="s">
        <v>144</v>
      </c>
      <c r="B129" s="21">
        <v>2</v>
      </c>
      <c r="C129" s="21">
        <v>0</v>
      </c>
    </row>
    <row r="130" spans="1:3" x14ac:dyDescent="0.25">
      <c r="A130" s="20" t="s">
        <v>785</v>
      </c>
      <c r="B130" s="21">
        <v>1</v>
      </c>
      <c r="C130" s="21">
        <v>0</v>
      </c>
    </row>
    <row r="131" spans="1:3" ht="45" x14ac:dyDescent="0.25">
      <c r="A131" s="20" t="s">
        <v>148</v>
      </c>
      <c r="B131" s="21">
        <v>1</v>
      </c>
      <c r="C131" s="21">
        <v>0</v>
      </c>
    </row>
    <row r="132" spans="1:3" ht="30" x14ac:dyDescent="0.25">
      <c r="A132" s="20" t="s">
        <v>811</v>
      </c>
      <c r="B132" s="21">
        <v>1</v>
      </c>
      <c r="C132" s="21">
        <v>0</v>
      </c>
    </row>
    <row r="133" spans="1:3" x14ac:dyDescent="0.25">
      <c r="A133" s="20" t="s">
        <v>849</v>
      </c>
      <c r="B133" s="21">
        <v>2</v>
      </c>
      <c r="C133" s="21">
        <v>0</v>
      </c>
    </row>
    <row r="134" spans="1:3" ht="30" x14ac:dyDescent="0.25">
      <c r="A134" s="20" t="s">
        <v>413</v>
      </c>
      <c r="B134" s="21">
        <v>1</v>
      </c>
      <c r="C134" s="21">
        <v>69</v>
      </c>
    </row>
    <row r="135" spans="1:3" x14ac:dyDescent="0.25">
      <c r="A135" s="20" t="s">
        <v>891</v>
      </c>
      <c r="B135" s="21">
        <v>1</v>
      </c>
      <c r="C135" s="21">
        <v>96</v>
      </c>
    </row>
    <row r="136" spans="1:3" ht="45" x14ac:dyDescent="0.25">
      <c r="A136" s="20" t="s">
        <v>595</v>
      </c>
      <c r="B136" s="21">
        <v>1</v>
      </c>
      <c r="C136" s="21">
        <v>39</v>
      </c>
    </row>
    <row r="137" spans="1:3" ht="30" x14ac:dyDescent="0.25">
      <c r="A137" s="20" t="s">
        <v>500</v>
      </c>
      <c r="B137" s="21">
        <v>1</v>
      </c>
      <c r="C137" s="21">
        <v>0</v>
      </c>
    </row>
    <row r="138" spans="1:3" ht="75" x14ac:dyDescent="0.25">
      <c r="A138" s="20" t="s">
        <v>277</v>
      </c>
      <c r="B138" s="21">
        <v>1</v>
      </c>
      <c r="C138" s="21">
        <v>33</v>
      </c>
    </row>
    <row r="139" spans="1:3" ht="30" x14ac:dyDescent="0.25">
      <c r="A139" s="20" t="s">
        <v>642</v>
      </c>
      <c r="B139" s="21">
        <v>1</v>
      </c>
      <c r="C139" s="21">
        <v>0</v>
      </c>
    </row>
    <row r="140" spans="1:3" x14ac:dyDescent="0.25">
      <c r="A140" s="20" t="s">
        <v>99</v>
      </c>
      <c r="B140" s="21">
        <v>1</v>
      </c>
      <c r="C140" s="21">
        <v>1</v>
      </c>
    </row>
    <row r="141" spans="1:3" ht="30" x14ac:dyDescent="0.25">
      <c r="A141" s="20" t="s">
        <v>658</v>
      </c>
      <c r="B141" s="21">
        <v>1</v>
      </c>
      <c r="C141" s="21">
        <v>0</v>
      </c>
    </row>
    <row r="142" spans="1:3" x14ac:dyDescent="0.25">
      <c r="A142" s="20" t="s">
        <v>918</v>
      </c>
      <c r="B142" s="21">
        <v>1</v>
      </c>
      <c r="C142" s="21">
        <v>0</v>
      </c>
    </row>
    <row r="143" spans="1:3" x14ac:dyDescent="0.25">
      <c r="A143" s="20" t="s">
        <v>853</v>
      </c>
      <c r="B143" s="21">
        <v>1</v>
      </c>
      <c r="C143" s="21">
        <v>0</v>
      </c>
    </row>
    <row r="144" spans="1:3" ht="30" x14ac:dyDescent="0.25">
      <c r="A144" s="20" t="s">
        <v>467</v>
      </c>
      <c r="B144" s="21">
        <v>1</v>
      </c>
      <c r="C144" s="21">
        <v>14</v>
      </c>
    </row>
    <row r="145" spans="1:3" x14ac:dyDescent="0.25">
      <c r="A145" s="20" t="s">
        <v>448</v>
      </c>
      <c r="B145" s="21">
        <v>1</v>
      </c>
      <c r="C145" s="21">
        <v>0</v>
      </c>
    </row>
    <row r="146" spans="1:3" ht="45" x14ac:dyDescent="0.25">
      <c r="A146" s="20" t="s">
        <v>296</v>
      </c>
      <c r="B146" s="21">
        <v>1</v>
      </c>
      <c r="C146" s="21">
        <v>14</v>
      </c>
    </row>
    <row r="147" spans="1:3" ht="60" x14ac:dyDescent="0.25">
      <c r="A147" s="20" t="s">
        <v>756</v>
      </c>
      <c r="B147" s="21">
        <v>1</v>
      </c>
      <c r="C147" s="21">
        <v>31</v>
      </c>
    </row>
    <row r="148" spans="1:3" ht="30" x14ac:dyDescent="0.25">
      <c r="A148" s="20" t="s">
        <v>133</v>
      </c>
      <c r="B148" s="21">
        <v>5</v>
      </c>
      <c r="C148" s="21">
        <v>2810</v>
      </c>
    </row>
    <row r="149" spans="1:3" ht="30" x14ac:dyDescent="0.25">
      <c r="A149" s="20" t="s">
        <v>271</v>
      </c>
      <c r="B149" s="21">
        <v>1</v>
      </c>
      <c r="C149" s="21">
        <v>0</v>
      </c>
    </row>
    <row r="150" spans="1:3" ht="30" x14ac:dyDescent="0.25">
      <c r="A150" s="20" t="s">
        <v>788</v>
      </c>
      <c r="B150" s="21">
        <v>1</v>
      </c>
      <c r="C150" s="21">
        <v>0</v>
      </c>
    </row>
    <row r="151" spans="1:3" x14ac:dyDescent="0.25">
      <c r="A151" s="20" t="s">
        <v>534</v>
      </c>
      <c r="B151" s="21">
        <v>1</v>
      </c>
      <c r="C151" s="21">
        <v>14</v>
      </c>
    </row>
    <row r="152" spans="1:3" ht="30" x14ac:dyDescent="0.25">
      <c r="A152" s="20" t="s">
        <v>434</v>
      </c>
      <c r="B152" s="21">
        <v>1</v>
      </c>
      <c r="C152" s="21">
        <v>0</v>
      </c>
    </row>
    <row r="153" spans="1:3" x14ac:dyDescent="0.25">
      <c r="A153" s="20" t="s">
        <v>334</v>
      </c>
      <c r="B153" s="21">
        <v>1</v>
      </c>
      <c r="C153" s="21">
        <v>3</v>
      </c>
    </row>
    <row r="154" spans="1:3" ht="30" x14ac:dyDescent="0.25">
      <c r="A154" s="20" t="s">
        <v>264</v>
      </c>
      <c r="B154" s="21">
        <v>1</v>
      </c>
      <c r="C154" s="21">
        <v>18</v>
      </c>
    </row>
    <row r="155" spans="1:3" ht="30" x14ac:dyDescent="0.25">
      <c r="A155" s="20" t="s">
        <v>52</v>
      </c>
      <c r="B155" s="21">
        <v>1</v>
      </c>
      <c r="C155" s="21">
        <v>30</v>
      </c>
    </row>
    <row r="156" spans="1:3" ht="30" x14ac:dyDescent="0.25">
      <c r="A156" s="20" t="s">
        <v>426</v>
      </c>
      <c r="B156" s="21">
        <v>1</v>
      </c>
      <c r="C156" s="21">
        <v>368</v>
      </c>
    </row>
    <row r="157" spans="1:3" ht="30" x14ac:dyDescent="0.25">
      <c r="A157" s="20" t="s">
        <v>105</v>
      </c>
      <c r="B157" s="21">
        <v>1</v>
      </c>
      <c r="C157" s="21">
        <v>2</v>
      </c>
    </row>
    <row r="158" spans="1:3" ht="45" x14ac:dyDescent="0.25">
      <c r="A158" s="20" t="s">
        <v>332</v>
      </c>
      <c r="B158" s="21">
        <v>1</v>
      </c>
      <c r="C158" s="21">
        <v>0</v>
      </c>
    </row>
    <row r="159" spans="1:3" x14ac:dyDescent="0.25">
      <c r="A159" s="20" t="s">
        <v>521</v>
      </c>
      <c r="B159" s="21">
        <v>1</v>
      </c>
      <c r="C159" s="21">
        <v>0</v>
      </c>
    </row>
    <row r="160" spans="1:3" ht="45" x14ac:dyDescent="0.25">
      <c r="A160" s="20" t="s">
        <v>142</v>
      </c>
      <c r="B160" s="21">
        <v>1</v>
      </c>
      <c r="C160" s="21">
        <v>0</v>
      </c>
    </row>
    <row r="161" spans="1:3" ht="45" x14ac:dyDescent="0.25">
      <c r="A161" s="20" t="s">
        <v>371</v>
      </c>
      <c r="B161" s="21">
        <v>1</v>
      </c>
      <c r="C161" s="21">
        <v>45</v>
      </c>
    </row>
    <row r="162" spans="1:3" ht="30" x14ac:dyDescent="0.25">
      <c r="A162" s="20" t="s">
        <v>858</v>
      </c>
      <c r="B162" s="21">
        <v>1</v>
      </c>
      <c r="C162" s="21">
        <v>0</v>
      </c>
    </row>
    <row r="163" spans="1:3" ht="45" x14ac:dyDescent="0.25">
      <c r="A163" s="20" t="s">
        <v>752</v>
      </c>
      <c r="B163" s="21">
        <v>1</v>
      </c>
      <c r="C163" s="21">
        <v>9</v>
      </c>
    </row>
    <row r="164" spans="1:3" x14ac:dyDescent="0.25">
      <c r="A164" s="20" t="s">
        <v>889</v>
      </c>
      <c r="B164" s="21">
        <v>1</v>
      </c>
      <c r="C164" s="21">
        <v>9</v>
      </c>
    </row>
    <row r="165" spans="1:3" ht="30" x14ac:dyDescent="0.25">
      <c r="A165" s="20" t="s">
        <v>177</v>
      </c>
      <c r="B165" s="21">
        <v>1</v>
      </c>
      <c r="C165" s="21">
        <v>25</v>
      </c>
    </row>
    <row r="166" spans="1:3" ht="30" x14ac:dyDescent="0.25">
      <c r="A166" s="20" t="s">
        <v>878</v>
      </c>
      <c r="B166" s="21">
        <v>1</v>
      </c>
      <c r="C166" s="21">
        <v>0</v>
      </c>
    </row>
    <row r="167" spans="1:3" ht="45" x14ac:dyDescent="0.25">
      <c r="A167" s="20" t="s">
        <v>197</v>
      </c>
      <c r="B167" s="21">
        <v>1</v>
      </c>
      <c r="C167" s="21">
        <v>22</v>
      </c>
    </row>
    <row r="168" spans="1:3" ht="90" x14ac:dyDescent="0.25">
      <c r="A168" s="20" t="s">
        <v>748</v>
      </c>
      <c r="B168" s="21">
        <v>1</v>
      </c>
      <c r="C168" s="21">
        <v>4</v>
      </c>
    </row>
    <row r="169" spans="1:3" ht="30" x14ac:dyDescent="0.25">
      <c r="A169" s="20" t="s">
        <v>464</v>
      </c>
      <c r="B169" s="21">
        <v>1</v>
      </c>
      <c r="C169" s="21">
        <v>2</v>
      </c>
    </row>
    <row r="170" spans="1:3" x14ac:dyDescent="0.25">
      <c r="A170" s="20" t="s">
        <v>815</v>
      </c>
      <c r="B170" s="21">
        <v>1</v>
      </c>
      <c r="C170" s="21">
        <v>0</v>
      </c>
    </row>
    <row r="171" spans="1:3" ht="60" x14ac:dyDescent="0.25">
      <c r="A171" s="20" t="s">
        <v>750</v>
      </c>
      <c r="B171" s="21">
        <v>1</v>
      </c>
      <c r="C171" s="21">
        <v>6</v>
      </c>
    </row>
    <row r="172" spans="1:3" ht="60" x14ac:dyDescent="0.25">
      <c r="A172" s="20" t="s">
        <v>514</v>
      </c>
      <c r="B172" s="21">
        <v>1</v>
      </c>
      <c r="C172" s="21">
        <v>0</v>
      </c>
    </row>
    <row r="173" spans="1:3" ht="60" x14ac:dyDescent="0.25">
      <c r="A173" s="20" t="s">
        <v>758</v>
      </c>
      <c r="B173" s="21">
        <v>1</v>
      </c>
      <c r="C173" s="21">
        <v>0</v>
      </c>
    </row>
    <row r="174" spans="1:3" ht="45" x14ac:dyDescent="0.25">
      <c r="A174" s="20" t="s">
        <v>739</v>
      </c>
      <c r="B174" s="21">
        <v>1</v>
      </c>
      <c r="C174" s="21">
        <v>40</v>
      </c>
    </row>
    <row r="175" spans="1:3" ht="30" x14ac:dyDescent="0.25">
      <c r="A175" s="20" t="s">
        <v>656</v>
      </c>
      <c r="B175" s="21">
        <v>1</v>
      </c>
      <c r="C175" s="21">
        <v>0</v>
      </c>
    </row>
    <row r="176" spans="1:3" ht="45" x14ac:dyDescent="0.25">
      <c r="A176" s="20" t="s">
        <v>229</v>
      </c>
      <c r="B176" s="21">
        <v>1</v>
      </c>
      <c r="C176" s="21">
        <v>3</v>
      </c>
    </row>
    <row r="177" spans="1:3" x14ac:dyDescent="0.25">
      <c r="A177" s="20" t="s">
        <v>698</v>
      </c>
      <c r="B177" s="21">
        <v>1</v>
      </c>
      <c r="C177" s="21">
        <v>0</v>
      </c>
    </row>
    <row r="178" spans="1:3" x14ac:dyDescent="0.25">
      <c r="A178" s="20" t="s">
        <v>88</v>
      </c>
      <c r="B178" s="21">
        <v>1</v>
      </c>
      <c r="C178" s="21">
        <v>0</v>
      </c>
    </row>
    <row r="179" spans="1:3" x14ac:dyDescent="0.25">
      <c r="A179" s="20" t="s">
        <v>163</v>
      </c>
      <c r="B179" s="21">
        <v>1</v>
      </c>
      <c r="C179" s="21">
        <v>0</v>
      </c>
    </row>
    <row r="180" spans="1:3" ht="30" x14ac:dyDescent="0.25">
      <c r="A180" s="20" t="s">
        <v>872</v>
      </c>
      <c r="B180" s="21">
        <v>1</v>
      </c>
      <c r="C180" s="21">
        <v>0</v>
      </c>
    </row>
    <row r="181" spans="1:3" ht="45" x14ac:dyDescent="0.25">
      <c r="A181" s="20" t="s">
        <v>446</v>
      </c>
      <c r="B181" s="21">
        <v>1</v>
      </c>
      <c r="C181" s="21">
        <v>7</v>
      </c>
    </row>
    <row r="182" spans="1:3" ht="90" x14ac:dyDescent="0.25">
      <c r="A182" s="20" t="s">
        <v>247</v>
      </c>
      <c r="B182" s="21">
        <v>1</v>
      </c>
      <c r="C182" s="21">
        <v>3</v>
      </c>
    </row>
    <row r="183" spans="1:3" ht="45" x14ac:dyDescent="0.25">
      <c r="A183" s="20" t="s">
        <v>760</v>
      </c>
      <c r="B183" s="21">
        <v>1</v>
      </c>
      <c r="C183" s="21">
        <v>0</v>
      </c>
    </row>
    <row r="184" spans="1:3" ht="45" x14ac:dyDescent="0.25">
      <c r="A184" s="20" t="s">
        <v>380</v>
      </c>
      <c r="B184" s="21">
        <v>3</v>
      </c>
      <c r="C184" s="21">
        <v>578</v>
      </c>
    </row>
    <row r="185" spans="1:3" ht="30" x14ac:dyDescent="0.25">
      <c r="A185" s="20" t="s">
        <v>377</v>
      </c>
      <c r="B185" s="21">
        <v>3</v>
      </c>
      <c r="C185" s="21">
        <v>417</v>
      </c>
    </row>
    <row r="186" spans="1:3" x14ac:dyDescent="0.25">
      <c r="A186" s="20" t="s">
        <v>896</v>
      </c>
      <c r="B186" s="21">
        <v>2</v>
      </c>
      <c r="C186" s="21">
        <v>0</v>
      </c>
    </row>
    <row r="187" spans="1:3" x14ac:dyDescent="0.25">
      <c r="A187" s="20" t="s">
        <v>851</v>
      </c>
      <c r="B187" s="21">
        <v>1</v>
      </c>
      <c r="C187" s="21">
        <v>0</v>
      </c>
    </row>
    <row r="188" spans="1:3" x14ac:dyDescent="0.25">
      <c r="A188" s="20" t="s">
        <v>244</v>
      </c>
      <c r="B188" s="21">
        <v>1</v>
      </c>
      <c r="C188" s="21">
        <v>107</v>
      </c>
    </row>
    <row r="189" spans="1:3" ht="60" x14ac:dyDescent="0.25">
      <c r="A189" s="20" t="s">
        <v>337</v>
      </c>
      <c r="B189" s="21">
        <v>1</v>
      </c>
      <c r="C189" s="21">
        <v>0</v>
      </c>
    </row>
    <row r="190" spans="1:3" ht="30" x14ac:dyDescent="0.25">
      <c r="A190" s="20" t="s">
        <v>598</v>
      </c>
      <c r="B190" s="21">
        <v>1</v>
      </c>
      <c r="C190" s="21">
        <v>1</v>
      </c>
    </row>
    <row r="191" spans="1:3" ht="90" x14ac:dyDescent="0.25">
      <c r="A191" s="20" t="s">
        <v>249</v>
      </c>
      <c r="B191" s="21">
        <v>1</v>
      </c>
      <c r="C191" s="21">
        <v>0</v>
      </c>
    </row>
    <row r="192" spans="1:3" ht="45" x14ac:dyDescent="0.25">
      <c r="A192" s="20" t="s">
        <v>876</v>
      </c>
      <c r="B192" s="21">
        <v>1</v>
      </c>
      <c r="C192" s="21">
        <v>0</v>
      </c>
    </row>
    <row r="193" spans="1:3" ht="30" x14ac:dyDescent="0.25">
      <c r="A193" s="20" t="s">
        <v>733</v>
      </c>
      <c r="B193" s="21">
        <v>1</v>
      </c>
      <c r="C193" s="21">
        <v>2</v>
      </c>
    </row>
    <row r="194" spans="1:3" x14ac:dyDescent="0.25">
      <c r="A194" s="20" t="s">
        <v>282</v>
      </c>
      <c r="B194" s="21">
        <v>1</v>
      </c>
      <c r="C194" s="21">
        <v>3</v>
      </c>
    </row>
    <row r="195" spans="1:3" ht="30" x14ac:dyDescent="0.25">
      <c r="A195" s="20" t="s">
        <v>863</v>
      </c>
      <c r="B195" s="21">
        <v>1</v>
      </c>
      <c r="C195" s="21">
        <v>11</v>
      </c>
    </row>
    <row r="196" spans="1:3" ht="30" x14ac:dyDescent="0.25">
      <c r="A196" s="20" t="s">
        <v>493</v>
      </c>
      <c r="B196" s="21">
        <v>1</v>
      </c>
      <c r="C196" s="21">
        <v>39</v>
      </c>
    </row>
    <row r="197" spans="1:3" ht="45" x14ac:dyDescent="0.25">
      <c r="A197" s="20" t="s">
        <v>210</v>
      </c>
      <c r="B197" s="21">
        <v>1</v>
      </c>
      <c r="C197" s="21">
        <v>4</v>
      </c>
    </row>
    <row r="198" spans="1:3" x14ac:dyDescent="0.25">
      <c r="A198" s="20" t="s">
        <v>911</v>
      </c>
      <c r="B198" s="21">
        <v>1</v>
      </c>
      <c r="C198" s="21">
        <v>41</v>
      </c>
    </row>
    <row r="199" spans="1:3" ht="45" x14ac:dyDescent="0.25">
      <c r="A199" s="20" t="s">
        <v>916</v>
      </c>
      <c r="B199" s="21">
        <v>1</v>
      </c>
      <c r="C199" s="21">
        <v>238</v>
      </c>
    </row>
    <row r="200" spans="1:3" ht="30" x14ac:dyDescent="0.25">
      <c r="A200" s="20" t="s">
        <v>914</v>
      </c>
      <c r="B200" s="21">
        <v>1</v>
      </c>
      <c r="C200" s="21">
        <v>49</v>
      </c>
    </row>
    <row r="201" spans="1:3" ht="45" x14ac:dyDescent="0.25">
      <c r="A201" s="20" t="s">
        <v>487</v>
      </c>
      <c r="B201" s="21">
        <v>2</v>
      </c>
      <c r="C201" s="21">
        <v>97</v>
      </c>
    </row>
    <row r="202" spans="1:3" ht="30" x14ac:dyDescent="0.25">
      <c r="A202" s="20" t="s">
        <v>694</v>
      </c>
      <c r="B202" s="21">
        <v>1</v>
      </c>
      <c r="C202" s="21">
        <v>7</v>
      </c>
    </row>
    <row r="203" spans="1:3" ht="30" x14ac:dyDescent="0.25">
      <c r="A203" s="20" t="s">
        <v>227</v>
      </c>
      <c r="B203" s="21">
        <v>1</v>
      </c>
      <c r="C203" s="21">
        <v>0</v>
      </c>
    </row>
    <row r="204" spans="1:3" ht="45" x14ac:dyDescent="0.25">
      <c r="A204" s="20" t="s">
        <v>921</v>
      </c>
      <c r="B204" s="21">
        <v>1</v>
      </c>
      <c r="C204" s="21">
        <v>0</v>
      </c>
    </row>
    <row r="205" spans="1:3" x14ac:dyDescent="0.25">
      <c r="A205" s="20" t="s">
        <v>456</v>
      </c>
      <c r="B205" s="21">
        <v>1</v>
      </c>
      <c r="C205" s="21">
        <v>2</v>
      </c>
    </row>
    <row r="206" spans="1:3" ht="30" x14ac:dyDescent="0.25">
      <c r="A206" s="20" t="s">
        <v>428</v>
      </c>
      <c r="B206" s="21">
        <v>1</v>
      </c>
      <c r="C206" s="21">
        <v>0</v>
      </c>
    </row>
    <row r="207" spans="1:3" ht="75" x14ac:dyDescent="0.25">
      <c r="A207" s="20" t="s">
        <v>86</v>
      </c>
      <c r="B207" s="21">
        <v>1</v>
      </c>
      <c r="C207" s="21">
        <v>636</v>
      </c>
    </row>
    <row r="208" spans="1:3" ht="30" x14ac:dyDescent="0.25">
      <c r="A208" s="20" t="s">
        <v>584</v>
      </c>
      <c r="B208" s="21">
        <v>1</v>
      </c>
      <c r="C208" s="21">
        <v>16</v>
      </c>
    </row>
    <row r="209" spans="1:3" x14ac:dyDescent="0.25">
      <c r="A209" s="20" t="s">
        <v>624</v>
      </c>
      <c r="B209" s="21">
        <v>1</v>
      </c>
      <c r="C209" s="21">
        <v>0</v>
      </c>
    </row>
    <row r="210" spans="1:3" ht="30" x14ac:dyDescent="0.25">
      <c r="A210" s="20" t="s">
        <v>469</v>
      </c>
      <c r="B210" s="21">
        <v>1</v>
      </c>
      <c r="C210" s="21">
        <v>56</v>
      </c>
    </row>
    <row r="211" spans="1:3" x14ac:dyDescent="0.25">
      <c r="A211" s="20" t="s">
        <v>618</v>
      </c>
      <c r="B211" s="21">
        <v>1</v>
      </c>
      <c r="C211" s="21">
        <v>0</v>
      </c>
    </row>
    <row r="212" spans="1:3" ht="30" x14ac:dyDescent="0.25">
      <c r="A212" s="20" t="s">
        <v>300</v>
      </c>
      <c r="B212" s="21">
        <v>1</v>
      </c>
      <c r="C212" s="21">
        <v>50</v>
      </c>
    </row>
    <row r="213" spans="1:3" ht="30" x14ac:dyDescent="0.25">
      <c r="A213" s="20" t="s">
        <v>298</v>
      </c>
      <c r="B213" s="21">
        <v>1</v>
      </c>
      <c r="C213" s="21">
        <v>29</v>
      </c>
    </row>
    <row r="214" spans="1:3" x14ac:dyDescent="0.25">
      <c r="A214" s="20" t="s">
        <v>536</v>
      </c>
      <c r="B214" s="21">
        <v>1</v>
      </c>
      <c r="C214" s="21">
        <v>87</v>
      </c>
    </row>
    <row r="215" spans="1:3" ht="30" x14ac:dyDescent="0.25">
      <c r="A215" s="20" t="s">
        <v>330</v>
      </c>
      <c r="B215" s="21">
        <v>1</v>
      </c>
      <c r="C215" s="21">
        <v>21</v>
      </c>
    </row>
    <row r="216" spans="1:3" ht="30" x14ac:dyDescent="0.25">
      <c r="A216" s="20" t="s">
        <v>80</v>
      </c>
      <c r="B216" s="21">
        <v>1</v>
      </c>
      <c r="C216" s="21">
        <v>71</v>
      </c>
    </row>
    <row r="217" spans="1:3" ht="45" x14ac:dyDescent="0.25">
      <c r="A217" s="20" t="s">
        <v>510</v>
      </c>
      <c r="B217" s="21">
        <v>1</v>
      </c>
      <c r="C217" s="21">
        <v>0</v>
      </c>
    </row>
    <row r="218" spans="1:3" ht="60" x14ac:dyDescent="0.25">
      <c r="A218" s="20" t="s">
        <v>767</v>
      </c>
      <c r="B218" s="21">
        <v>1</v>
      </c>
      <c r="C218" s="21">
        <v>0</v>
      </c>
    </row>
    <row r="219" spans="1:3" ht="45" x14ac:dyDescent="0.25">
      <c r="A219" s="20" t="s">
        <v>587</v>
      </c>
      <c r="B219" s="21">
        <v>1</v>
      </c>
      <c r="C219" s="21">
        <v>1</v>
      </c>
    </row>
    <row r="220" spans="1:3" ht="60" x14ac:dyDescent="0.25">
      <c r="A220" s="20" t="s">
        <v>503</v>
      </c>
      <c r="B220" s="21">
        <v>1</v>
      </c>
      <c r="C220" s="21">
        <v>0</v>
      </c>
    </row>
    <row r="221" spans="1:3" ht="75" x14ac:dyDescent="0.25">
      <c r="A221" s="20" t="s">
        <v>589</v>
      </c>
      <c r="B221" s="21">
        <v>1</v>
      </c>
      <c r="C221" s="21">
        <v>3</v>
      </c>
    </row>
    <row r="222" spans="1:3" ht="30" x14ac:dyDescent="0.25">
      <c r="A222" s="20" t="s">
        <v>591</v>
      </c>
      <c r="B222" s="21">
        <v>1</v>
      </c>
      <c r="C222" s="21">
        <v>4</v>
      </c>
    </row>
    <row r="223" spans="1:3" ht="45" x14ac:dyDescent="0.25">
      <c r="A223" s="20" t="s">
        <v>225</v>
      </c>
      <c r="B223" s="21">
        <v>1</v>
      </c>
      <c r="C223" s="21">
        <v>0</v>
      </c>
    </row>
    <row r="224" spans="1:3" ht="90" x14ac:dyDescent="0.25">
      <c r="A224" s="20" t="s">
        <v>765</v>
      </c>
      <c r="B224" s="21">
        <v>1</v>
      </c>
      <c r="C224" s="21">
        <v>0</v>
      </c>
    </row>
    <row r="225" spans="1:3" x14ac:dyDescent="0.25">
      <c r="A225" s="20" t="s">
        <v>942</v>
      </c>
      <c r="B225" s="21">
        <v>212</v>
      </c>
      <c r="C225" s="21">
        <v>13041</v>
      </c>
    </row>
    <row r="305" spans="1:3" x14ac:dyDescent="0.25">
      <c r="A305" s="19"/>
      <c r="B305" s="19"/>
      <c r="C305" s="19"/>
    </row>
    <row r="306" spans="1:3" x14ac:dyDescent="0.25">
      <c r="A306" s="19"/>
      <c r="B306" s="19"/>
      <c r="C306" s="19"/>
    </row>
    <row r="307" spans="1:3" x14ac:dyDescent="0.25">
      <c r="A307" s="19"/>
      <c r="B307" s="19"/>
      <c r="C307" s="19"/>
    </row>
    <row r="308" spans="1:3" x14ac:dyDescent="0.25">
      <c r="A308" s="19"/>
      <c r="B308" s="19"/>
      <c r="C308" s="19"/>
    </row>
    <row r="309" spans="1:3" x14ac:dyDescent="0.25">
      <c r="A309" s="19"/>
      <c r="B309" s="19"/>
      <c r="C309" s="19"/>
    </row>
    <row r="310" spans="1:3" x14ac:dyDescent="0.25">
      <c r="A310" s="19"/>
      <c r="B310" s="19"/>
      <c r="C310" s="19"/>
    </row>
    <row r="311" spans="1:3" x14ac:dyDescent="0.25">
      <c r="A311" s="19"/>
      <c r="B311" s="19"/>
      <c r="C311" s="19"/>
    </row>
    <row r="312" spans="1:3" x14ac:dyDescent="0.25">
      <c r="A312" s="19"/>
      <c r="B312" s="19"/>
      <c r="C312" s="19"/>
    </row>
    <row r="313" spans="1:3" x14ac:dyDescent="0.25">
      <c r="A313" s="19"/>
      <c r="B313" s="19"/>
      <c r="C313" s="19"/>
    </row>
    <row r="314" spans="1:3" x14ac:dyDescent="0.25">
      <c r="A314" s="19"/>
      <c r="B314" s="19"/>
      <c r="C314" s="19"/>
    </row>
    <row r="315" spans="1:3" x14ac:dyDescent="0.25">
      <c r="A315" s="19"/>
      <c r="B315" s="19"/>
      <c r="C315" s="19"/>
    </row>
    <row r="316" spans="1:3" x14ac:dyDescent="0.25">
      <c r="A316" s="19"/>
      <c r="B316" s="19"/>
      <c r="C316" s="19"/>
    </row>
    <row r="317" spans="1:3" x14ac:dyDescent="0.25">
      <c r="A317" s="19"/>
      <c r="B317" s="19"/>
      <c r="C317" s="19"/>
    </row>
    <row r="318" spans="1:3" x14ac:dyDescent="0.25">
      <c r="A318" s="19"/>
      <c r="B318" s="19"/>
      <c r="C318" s="19"/>
    </row>
    <row r="319" spans="1:3" x14ac:dyDescent="0.25">
      <c r="A319" s="19"/>
      <c r="B319" s="19"/>
      <c r="C319" s="19"/>
    </row>
    <row r="320" spans="1:3" x14ac:dyDescent="0.25">
      <c r="A320" s="19"/>
      <c r="B320" s="19"/>
      <c r="C320" s="19"/>
    </row>
    <row r="321" spans="1:3" x14ac:dyDescent="0.25">
      <c r="A321" s="19"/>
      <c r="B321" s="19"/>
      <c r="C321" s="19"/>
    </row>
    <row r="322" spans="1:3" x14ac:dyDescent="0.25">
      <c r="A322" s="19"/>
      <c r="B322" s="19"/>
      <c r="C322" s="19"/>
    </row>
    <row r="323" spans="1:3" x14ac:dyDescent="0.25">
      <c r="A323" s="19"/>
      <c r="B323" s="19"/>
      <c r="C323" s="19"/>
    </row>
    <row r="324" spans="1:3" x14ac:dyDescent="0.25">
      <c r="A324" s="19"/>
      <c r="B324" s="19"/>
      <c r="C324" s="19"/>
    </row>
    <row r="325" spans="1:3" x14ac:dyDescent="0.25">
      <c r="A325" s="19"/>
      <c r="B325" s="19"/>
      <c r="C325" s="19"/>
    </row>
    <row r="326" spans="1:3" x14ac:dyDescent="0.25">
      <c r="A326" s="19"/>
      <c r="B326" s="19"/>
      <c r="C326" s="19"/>
    </row>
    <row r="327" spans="1:3" x14ac:dyDescent="0.25">
      <c r="A327" s="19"/>
      <c r="B327" s="19"/>
      <c r="C327" s="19"/>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1241DCBC10EE40862A7CE49513C810" ma:contentTypeVersion="12" ma:contentTypeDescription="Create a new document." ma:contentTypeScope="" ma:versionID="18f3bd2b98fd9c624a181bda937228b9">
  <xsd:schema xmlns:xsd="http://www.w3.org/2001/XMLSchema" xmlns:xs="http://www.w3.org/2001/XMLSchema" xmlns:p="http://schemas.microsoft.com/office/2006/metadata/properties" xmlns:ns2="8786c29e-94bf-45c7-bd56-2f8b01cef56c" xmlns:ns3="8d936e24-9f4f-4404-9b78-cbe44579a146" targetNamespace="http://schemas.microsoft.com/office/2006/metadata/properties" ma:root="true" ma:fieldsID="8f594b71b4b1118542ac5b411a03ce60" ns2:_="" ns3:_="">
    <xsd:import namespace="8786c29e-94bf-45c7-bd56-2f8b01cef56c"/>
    <xsd:import namespace="8d936e24-9f4f-4404-9b78-cbe44579a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86c29e-94bf-45c7-bd56-2f8b01cef5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9e3dcd1-d3fb-4fea-879d-f29d8e3d91c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936e24-9f4f-4404-9b78-cbe44579a14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5f17ba6-d726-42e2-8401-0e48073723af}" ma:internalName="TaxCatchAll" ma:showField="CatchAllData" ma:web="8d936e24-9f4f-4404-9b78-cbe44579a1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86c29e-94bf-45c7-bd56-2f8b01cef56c">
      <Terms xmlns="http://schemas.microsoft.com/office/infopath/2007/PartnerControls"/>
    </lcf76f155ced4ddcb4097134ff3c332f>
    <TaxCatchAll xmlns="8d936e24-9f4f-4404-9b78-cbe44579a146" xsi:nil="true"/>
  </documentManagement>
</p:properties>
</file>

<file path=customXml/itemProps1.xml><?xml version="1.0" encoding="utf-8"?>
<ds:datastoreItem xmlns:ds="http://schemas.openxmlformats.org/officeDocument/2006/customXml" ds:itemID="{4FFB2E71-12ED-485D-BDAB-7457BC3AB6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86c29e-94bf-45c7-bd56-2f8b01cef56c"/>
    <ds:schemaRef ds:uri="8d936e24-9f4f-4404-9b78-cbe44579a1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747E9F-2280-4E6B-96FF-B8BEB2B0FD62}">
  <ds:schemaRefs>
    <ds:schemaRef ds:uri="http://schemas.microsoft.com/sharepoint/v3/contenttype/forms"/>
  </ds:schemaRefs>
</ds:datastoreItem>
</file>

<file path=customXml/itemProps3.xml><?xml version="1.0" encoding="utf-8"?>
<ds:datastoreItem xmlns:ds="http://schemas.openxmlformats.org/officeDocument/2006/customXml" ds:itemID="{2AFFC654-6DE4-4CA1-9F42-2DF97B440B16}">
  <ds:schemaRefs>
    <ds:schemaRef ds:uri="http://purl.org/dc/elements/1.1/"/>
    <ds:schemaRef ds:uri="8786c29e-94bf-45c7-bd56-2f8b01cef56c"/>
    <ds:schemaRef ds:uri="http://purl.org/dc/terms/"/>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8d936e24-9f4f-4404-9b78-cbe44579a146"/>
    <ds:schemaRef ds:uri="http://purl.org/dc/dcmitype/"/>
  </ds:schemaRefs>
</ds:datastoreItem>
</file>

<file path=docMetadata/LabelInfo.xml><?xml version="1.0" encoding="utf-8"?>
<clbl:labelList xmlns:clbl="http://schemas.microsoft.com/office/2020/mipLabelMetadata">
  <clbl:label id="{fe2528ac-4f52-4909-9ec4-f0fdea71b771}" enabled="0" method="" siteId="{fe2528ac-4f52-4909-9ec4-f0fdea71b77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GPTData</vt:lpstr>
      <vt:lpstr>Recommendation</vt:lpstr>
      <vt:lpstr>DecMonthlyUsage</vt:lpstr>
      <vt:lpstr>CLG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 Nguyen</dc:creator>
  <cp:keywords/>
  <dc:description/>
  <cp:lastModifiedBy>Minh Nguyen</cp:lastModifiedBy>
  <cp:revision/>
  <dcterms:created xsi:type="dcterms:W3CDTF">2026-01-23T14:37:09Z</dcterms:created>
  <dcterms:modified xsi:type="dcterms:W3CDTF">2026-02-03T14:03:42Z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0x010100881241DCBC10EE40862A7CE49513C810</vt:lpwstr>
  </property>
  <property fmtid="{D5CDD505-2E9C-101B-9397-08002B2CF9AE}" pid="3" name="MediaServiceImageTags">
    <vt:lpwstr/>
  </property>
</Properties>
</file>