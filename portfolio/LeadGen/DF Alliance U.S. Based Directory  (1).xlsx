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<sst xmlns="http://schemas.openxmlformats.org/spreadsheetml/2006/main" count="1403" uniqueCount="1132">
  <si>
    <t>ID</t>
  </si>
  <si>
    <t>City</t>
  </si>
  <si>
    <t>Company</t>
  </si>
  <si>
    <t>Contact name</t>
  </si>
  <si>
    <t>Email</t>
  </si>
  <si>
    <t>Priority service</t>
  </si>
  <si>
    <t>Phone</t>
  </si>
  <si>
    <t>T7YMU</t>
  </si>
  <si>
    <t>Miami</t>
  </si>
  <si>
    <t>AB Group Shipping</t>
  </si>
  <si>
    <t>Rodrigo Prado</t>
  </si>
  <si>
    <r>
      <rPr>
        <color rgb="FF1155CC"/>
        <u/>
      </rPr>
      <t>rodrigo@abgroupshipping.com</t>
    </r>
  </si>
  <si>
    <t>FCL, LCL, FTL, Air, Customs clearance</t>
  </si>
  <si>
    <t>COUQV</t>
  </si>
  <si>
    <t>Allen</t>
  </si>
  <si>
    <t>Beyond Logix LLC</t>
  </si>
  <si>
    <t>Michael Lapira</t>
  </si>
  <si>
    <r>
      <rPr>
        <color rgb="FF1155CC"/>
        <u/>
      </rPr>
      <t>michael.lapira@beyondlogix.com</t>
    </r>
  </si>
  <si>
    <t>FCL, LCL, Bulk, FTL, LTL, Air, Customs clearance, Warehousing</t>
  </si>
  <si>
    <t>E9004</t>
  </si>
  <si>
    <t>Atlanta</t>
  </si>
  <si>
    <t>Ana Chavarro</t>
  </si>
  <si>
    <r>
      <rPr>
        <color rgb="FF1155CC"/>
        <u/>
      </rPr>
      <t>business@beyondlogix.com</t>
    </r>
  </si>
  <si>
    <t>3U20K</t>
  </si>
  <si>
    <t>Los Angeles</t>
  </si>
  <si>
    <t>1UP Cargo Ltd</t>
  </si>
  <si>
    <t>Michael Philpot</t>
  </si>
  <si>
    <r>
      <rPr>
        <color rgb="FF1155CC"/>
        <u/>
      </rPr>
      <t>us.dfa@1upcargo.com</t>
    </r>
  </si>
  <si>
    <t>FCL, LCL, FTL, LTL, Air, Customs clearance</t>
  </si>
  <si>
    <t>DDJDV</t>
  </si>
  <si>
    <t>Lowell</t>
  </si>
  <si>
    <t>WATCO Logistics</t>
  </si>
  <si>
    <t>Cameron Bradley</t>
  </si>
  <si>
    <r>
      <rPr>
        <color rgb="FF1155CC"/>
        <u/>
      </rPr>
      <t>international@watco.com</t>
    </r>
  </si>
  <si>
    <t>FCL, LCL, FTL, Rail, LTL, Air, Customs clearance, Project cargoes</t>
  </si>
  <si>
    <t>TVAGJ</t>
  </si>
  <si>
    <t>New York</t>
  </si>
  <si>
    <t>MID‑SHIP Logistics LLC</t>
  </si>
  <si>
    <t>George O’Connor</t>
  </si>
  <si>
    <r>
      <rPr>
        <color rgb="FF1155CC"/>
        <u/>
      </rPr>
      <t>logistics@midshiplogistics.com</t>
    </r>
  </si>
  <si>
    <t>FTL, LTL, Project cargoes, Warehousing, Customs clearance, Courier services, Rail</t>
  </si>
  <si>
    <t>F6LVM</t>
  </si>
  <si>
    <t>Miami Beach</t>
  </si>
  <si>
    <t>B&amp;B Global Logistics</t>
  </si>
  <si>
    <t>Daniel Matejka</t>
  </si>
  <si>
    <r>
      <rPr>
        <color rgb="FF1155CC"/>
        <u/>
      </rPr>
      <t>dmatejka@bybglobalcorp.com</t>
    </r>
  </si>
  <si>
    <t>FCL, LCL, Bulk, FTL, LTL, Rail, Air, Customs clearance, Project cargoes, RoRo, Warehousing</t>
  </si>
  <si>
    <t>ZLZ23</t>
  </si>
  <si>
    <t>Azusa</t>
  </si>
  <si>
    <t>Eurybia Logistics</t>
  </si>
  <si>
    <t>Kathy Zhang</t>
  </si>
  <si>
    <r>
      <rPr>
        <color rgb="FF1155CC"/>
        <u/>
      </rPr>
      <t>kzhang@eurybia.us</t>
    </r>
  </si>
  <si>
    <t>FCL, LCL, Air, FTL, LTL, Customs clearance</t>
  </si>
  <si>
    <t>8FI12</t>
  </si>
  <si>
    <t>Raminatrans</t>
  </si>
  <si>
    <t>Ovidio López</t>
  </si>
  <si>
    <r>
      <rPr>
        <color rgb="FF1155CC"/>
        <u/>
      </rPr>
      <t>Ovidio.lopez@rmnusa.com</t>
    </r>
  </si>
  <si>
    <t>FCL, LCL, FTL, LTL, Air, Customs clearance, Project cargoes, Warehousing, Bulk, Rail</t>
  </si>
  <si>
    <t>WVUNV</t>
  </si>
  <si>
    <t>Sea Side Logistics</t>
  </si>
  <si>
    <t>Juan Pablo De Mattei</t>
  </si>
  <si>
    <r>
      <rPr>
        <color rgb="FF1155CC"/>
        <u/>
      </rPr>
      <t>jpdematteis@sea-side.us</t>
    </r>
  </si>
  <si>
    <t>FCL, LCL, Bulk, Project cargoes, Air</t>
  </si>
  <si>
    <t>Texas City</t>
  </si>
  <si>
    <t>Quick Express</t>
  </si>
  <si>
    <t>Analy Martinez</t>
  </si>
  <si>
    <r>
      <rPr>
        <color rgb="FF1155CC"/>
        <u/>
      </rPr>
      <t>info@quick-ex.net</t>
    </r>
  </si>
  <si>
    <t>LTL, FTL, Relocations, Courier services, Warehousing</t>
  </si>
  <si>
    <t>PQARB</t>
  </si>
  <si>
    <t>New Jersey</t>
  </si>
  <si>
    <t>Bayshore Logistics &amp; Services LLC</t>
  </si>
  <si>
    <t>Mike Moreno</t>
  </si>
  <si>
    <r>
      <rPr>
        <color rgb="FF1155CC"/>
        <u/>
      </rPr>
      <t>info@bayshorelogistics.com</t>
    </r>
  </si>
  <si>
    <t>FCL, LCL, FTL, LTL, Customs clearance, Air</t>
  </si>
  <si>
    <t>VMMOL</t>
  </si>
  <si>
    <t>Miami Lakes</t>
  </si>
  <si>
    <t>Keen &amp; Able Logistics Inc</t>
  </si>
  <si>
    <t>Hector Rodriguez</t>
  </si>
  <si>
    <r>
      <rPr>
        <color rgb="FF1155CC"/>
        <u/>
      </rPr>
      <t>dfamiausa@knalogistics.com</t>
    </r>
  </si>
  <si>
    <t>FTL, LTL, Air, FCL, LCL</t>
  </si>
  <si>
    <t>D402K</t>
  </si>
  <si>
    <t>CargoMondo Group</t>
  </si>
  <si>
    <t>Yon Aizpurua</t>
  </si>
  <si>
    <r>
      <rPr>
        <color rgb="FF1155CC"/>
        <u/>
      </rPr>
      <t>americas@cargomondo.com</t>
    </r>
  </si>
  <si>
    <t>FCL, LCL, Bulk, FTL, LTL, Air, Rail, Customs clearance, Courier services, Relocations, Project cargoes, RoRo, Warehousing</t>
  </si>
  <si>
    <t>3TD97</t>
  </si>
  <si>
    <t>Diamond Bar</t>
  </si>
  <si>
    <t>Affinity Shipping (USA) Inc</t>
  </si>
  <si>
    <t>David Tsai</t>
  </si>
  <si>
    <r>
      <rPr>
        <color rgb="FF1155CC"/>
        <u/>
      </rPr>
      <t>david.tsai@lax.aftyusa.com</t>
    </r>
  </si>
  <si>
    <t>FCL, LCL, Customs clearance, Project cargoes, Warehousing, FTL, LTL, Rail</t>
  </si>
  <si>
    <t>DERS3</t>
  </si>
  <si>
    <t>Tera Logistics Inc.</t>
  </si>
  <si>
    <t>Rajvir Kumar</t>
  </si>
  <si>
    <r>
      <rPr>
        <color rgb="FF1155CC"/>
        <u/>
      </rPr>
      <t>team@terabrokerage.com</t>
    </r>
  </si>
  <si>
    <t>FTL, LTL, Customs clearance, Courier services, Relocations, FCL, LCL</t>
  </si>
  <si>
    <t>IS5EO</t>
  </si>
  <si>
    <t>Mona Miranda</t>
  </si>
  <si>
    <r>
      <rPr>
        <color rgb="FF1155CC"/>
        <u/>
      </rPr>
      <t>mona@terabrokerage.com</t>
    </r>
  </si>
  <si>
    <t>15CAC</t>
  </si>
  <si>
    <t>Houston</t>
  </si>
  <si>
    <t>MS Warehousing</t>
  </si>
  <si>
    <t>Frank M Ramirez</t>
  </si>
  <si>
    <r>
      <rPr>
        <color rgb="FF1155CC"/>
        <u/>
      </rPr>
      <t>frankr@mswarehousing.net</t>
    </r>
  </si>
  <si>
    <t>Warehousing</t>
  </si>
  <si>
    <t>5Q7MJ</t>
  </si>
  <si>
    <t>NIT Logistics, Inc.</t>
  </si>
  <si>
    <t>Zeki Sensoz</t>
  </si>
  <si>
    <r>
      <rPr>
        <color rgb="FF1155CC"/>
        <u/>
      </rPr>
      <t>zeki.sensoz@nitlogistics.com</t>
    </r>
  </si>
  <si>
    <t>FCL, LCL, FTL, LTL, Rail, Air, Customs clearance</t>
  </si>
  <si>
    <t>AZ3D6</t>
  </si>
  <si>
    <t>Lake Worth</t>
  </si>
  <si>
    <t>Exfreight</t>
  </si>
  <si>
    <t>Paula Mirabal</t>
  </si>
  <si>
    <r>
      <rPr>
        <color rgb="FF1155CC"/>
        <u/>
      </rPr>
      <t>paula@exfreight.com</t>
    </r>
  </si>
  <si>
    <t>FCL, LCL, Air, Project cargoes</t>
  </si>
  <si>
    <t>2WTTM</t>
  </si>
  <si>
    <t>Vector Global Logistics</t>
  </si>
  <si>
    <t>Enrique Alvarez</t>
  </si>
  <si>
    <r>
      <rPr>
        <color rgb="FF1155CC"/>
        <u/>
      </rPr>
      <t>bookings@vectorgl.com</t>
    </r>
  </si>
  <si>
    <t>FCL, LCL, Breakbulk, FTL, LTL, Air, Customs clearance, Courier services, Project cargoes, RoRo, Warehousing</t>
  </si>
  <si>
    <t>4D2FI</t>
  </si>
  <si>
    <t>Westminster</t>
  </si>
  <si>
    <t>Leo Shipping Hub</t>
  </si>
  <si>
    <t>Moustafa Nofal</t>
  </si>
  <si>
    <r>
      <rPr>
        <color rgb="FF1155CC"/>
        <u/>
      </rPr>
      <t>wholesale@leodistro.com</t>
    </r>
  </si>
  <si>
    <t>FCL, LCL, FTL, LTL, Air, Customs clearance, Courier services, Warehousing, Project cargoes</t>
  </si>
  <si>
    <t>5JOUX</t>
  </si>
  <si>
    <t>Elk Grove</t>
  </si>
  <si>
    <t>Shine Logistic LLC</t>
  </si>
  <si>
    <t>Andy Smith</t>
  </si>
  <si>
    <r>
      <rPr>
        <color rgb="FF1155CC"/>
        <u/>
      </rPr>
      <t>andy.smith@shinelogisticsllc.com</t>
    </r>
  </si>
  <si>
    <t>Bulk, Breakbulk, FTL, LTL, Rail, Air, Project cargoes, RoRo, Warehousing, Relocations</t>
  </si>
  <si>
    <t>7VMON</t>
  </si>
  <si>
    <t>Fort Lee</t>
  </si>
  <si>
    <t>UTU Logistics Inc</t>
  </si>
  <si>
    <t>Joe Jo</t>
  </si>
  <si>
    <r>
      <rPr>
        <color rgb="FF1155CC"/>
        <u/>
      </rPr>
      <t>joe.j@utulogistics.com</t>
    </r>
  </si>
  <si>
    <t>Bulk, FCL, LCL, Breakbulk, FTL, LTL, Rail, Air, Customs clearance, Courier services, RoRo, Project cargoes, Warehousing</t>
  </si>
  <si>
    <t>8MRK0</t>
  </si>
  <si>
    <t>Bound Logistics</t>
  </si>
  <si>
    <t>Nathan Halberstam</t>
  </si>
  <si>
    <r>
      <rPr>
        <color rgb="FF1155CC"/>
        <u/>
      </rPr>
      <t>nathan@boundlogistics.com</t>
    </r>
  </si>
  <si>
    <t>FCL, LCL, FTL, LTL</t>
  </si>
  <si>
    <t>C2XNY</t>
  </si>
  <si>
    <t>Edison</t>
  </si>
  <si>
    <t>Real Star Trucking</t>
  </si>
  <si>
    <t>Charles Hudson</t>
  </si>
  <si>
    <r>
      <rPr>
        <color rgb="FF1155CC"/>
        <u/>
      </rPr>
      <t>sales@realstartrucking.com</t>
    </r>
  </si>
  <si>
    <t>FCL, LCL, Bulk, Breakbulk, FTL, LTL, Warehousing</t>
  </si>
  <si>
    <t>C67ZR</t>
  </si>
  <si>
    <t>Allied Xpert Logistics Inc USA</t>
  </si>
  <si>
    <t>Maryam Saleem</t>
  </si>
  <si>
    <r>
      <rPr>
        <color rgb="FF1155CC"/>
        <u/>
      </rPr>
      <t>usa-opt@alliedxl.com</t>
    </r>
  </si>
  <si>
    <t>FCL, LCL, Breakbulk, FTL, LTL, Rail, Air, Customs clearance, Courier services, Relocations, Project cargoes, Warehousing, RoRo</t>
  </si>
  <si>
    <t>CCFHB</t>
  </si>
  <si>
    <t>Chicago</t>
  </si>
  <si>
    <t>OnlyFreight Logistics LLC</t>
  </si>
  <si>
    <t>Austin Komar</t>
  </si>
  <si>
    <r>
      <rPr>
        <color rgb="FF1155CC"/>
        <u/>
      </rPr>
      <t>air@onlyfreightlogistics.com</t>
    </r>
  </si>
  <si>
    <t>FTL, LTL, Air, Customs clearance, Courier services, Relocations, Project cargoes</t>
  </si>
  <si>
    <t>CRDXP</t>
  </si>
  <si>
    <t>Port Reading</t>
  </si>
  <si>
    <t>Ground Hub Logistics Inc</t>
  </si>
  <si>
    <t>Sam Wills</t>
  </si>
  <si>
    <r>
      <rPr>
        <color rgb="FF1155CC"/>
        <u/>
      </rPr>
      <t>sam@groundhubtrans.com</t>
    </r>
  </si>
  <si>
    <t>FCL, LCL, Bulk, Breakbulk, FTL, LTL, Rail, Air, Customs clearance, Relocations, Project cargoes, RoRo, Warehousing, Courier services</t>
  </si>
  <si>
    <t>D5UVS</t>
  </si>
  <si>
    <t>Grove City</t>
  </si>
  <si>
    <t>Globe LLC</t>
  </si>
  <si>
    <t>Ayesha Mirza</t>
  </si>
  <si>
    <r>
      <rPr>
        <color rgb="FF1155CC"/>
        <u/>
      </rPr>
      <t>ayesha.mirza@globellc.us</t>
    </r>
  </si>
  <si>
    <t>FTL, FCL, Bulk, Rail, Air, LTL, Breakbulk, Project cargoes, Warehousing</t>
  </si>
  <si>
    <t>FQSV6</t>
  </si>
  <si>
    <t>Sacramento</t>
  </si>
  <si>
    <t>A1 Logistics</t>
  </si>
  <si>
    <t>Edward Clark</t>
  </si>
  <si>
    <r>
      <rPr>
        <color rgb="FF1155CC"/>
        <u/>
      </rPr>
      <t>edward.clark@a1logistics.us</t>
    </r>
  </si>
  <si>
    <t>FCL, FTL, Bulk</t>
  </si>
  <si>
    <t>GF8EU</t>
  </si>
  <si>
    <t>NTG</t>
  </si>
  <si>
    <t>Prince Boadi</t>
  </si>
  <si>
    <r>
      <rPr>
        <color rgb="FF1155CC"/>
        <u/>
      </rPr>
      <t>prince.boadi@ntgfreight.com</t>
    </r>
  </si>
  <si>
    <t>Bulk, FTL, LTL, Rail, Air, Warehousing, Courier services, FCL, LCL</t>
  </si>
  <si>
    <t>GFWGB</t>
  </si>
  <si>
    <t>Fishers</t>
  </si>
  <si>
    <t>Blue Star Transportation &amp; Logistics, LLC</t>
  </si>
  <si>
    <t>Andrew Piera</t>
  </si>
  <si>
    <r>
      <rPr>
        <color rgb="FF1155CC"/>
        <u/>
      </rPr>
      <t>andrew@shipwithblue.com</t>
    </r>
  </si>
  <si>
    <t>FCL, LCL, Breakbulk, FTL, LTL, Rail, Air, Courier services, Project cargoes, Warehousing</t>
  </si>
  <si>
    <t>GM10D</t>
  </si>
  <si>
    <t>Riverside</t>
  </si>
  <si>
    <t>FCT Solutions LLC</t>
  </si>
  <si>
    <t>Christian Gonzalez</t>
  </si>
  <si>
    <r>
      <rPr>
        <color rgb="FF1155CC"/>
        <u/>
      </rPr>
      <t>chris-fb@fctsol.com</t>
    </r>
  </si>
  <si>
    <t>FTL, LTL</t>
  </si>
  <si>
    <t>GQP7H</t>
  </si>
  <si>
    <t>Transship Corp</t>
  </si>
  <si>
    <t>Amit Hasak</t>
  </si>
  <si>
    <r>
      <rPr>
        <color rgb="FF1155CC"/>
        <u/>
      </rPr>
      <t>amit@transship.net</t>
    </r>
  </si>
  <si>
    <t>FCL, FTL, LCL</t>
  </si>
  <si>
    <t>KLKMD</t>
  </si>
  <si>
    <t>Best Price Freight Co. DBA Unishippers 1669</t>
  </si>
  <si>
    <t>Ryan Ahangi</t>
  </si>
  <si>
    <r>
      <rPr>
        <color rgb="FF1155CC"/>
        <u/>
      </rPr>
      <t>ryan.ahangi@unishippers.com</t>
    </r>
  </si>
  <si>
    <t>FCL, LCL, FTL, LTL, Rail, Air, Customs clearance, Courier services</t>
  </si>
  <si>
    <t>NMTSH</t>
  </si>
  <si>
    <t>Austin</t>
  </si>
  <si>
    <t>Eleevate Logistics &amp; Supply Chain</t>
  </si>
  <si>
    <t>Muhammad Awab</t>
  </si>
  <si>
    <r>
      <rPr>
        <color rgb="FF1155CC"/>
        <u/>
      </rPr>
      <t>awab@eleevatelogistics.com</t>
    </r>
  </si>
  <si>
    <t>LCL, FCL, Air, Warehousing</t>
  </si>
  <si>
    <t>PF3FM</t>
  </si>
  <si>
    <t>Palatine</t>
  </si>
  <si>
    <t>Fresh Xpress Inc.</t>
  </si>
  <si>
    <t>Shane Ws</t>
  </si>
  <si>
    <r>
      <rPr>
        <color rgb="FF1155CC"/>
        <u/>
      </rPr>
      <t>shane.w@freshxpress.co</t>
    </r>
  </si>
  <si>
    <t>Warehousing, Project cargoes, Customs clearance, Air, LTL, FTL, Breakbulk, Bulk, LCL, FCL, RoRo</t>
  </si>
  <si>
    <t>RXK3Y</t>
  </si>
  <si>
    <t>Antioch</t>
  </si>
  <si>
    <t>BBS Customs Brokers Inc</t>
  </si>
  <si>
    <t>Baljeet Singh</t>
  </si>
  <si>
    <r>
      <rPr>
        <color rgb="FF1155CC"/>
        <u/>
      </rPr>
      <t>sales@bbscbinc.com</t>
    </r>
  </si>
  <si>
    <t>FCL, LCL, FTL, LTL, Rail, Project cargoes</t>
  </si>
  <si>
    <t>RZY1A</t>
  </si>
  <si>
    <t>Washington</t>
  </si>
  <si>
    <t>ClearFreight Inc.</t>
  </si>
  <si>
    <t>Amer Ekmecic</t>
  </si>
  <si>
    <r>
      <rPr>
        <color rgb="FF1155CC"/>
        <u/>
      </rPr>
      <t>amer@clearfreight.com</t>
    </r>
  </si>
  <si>
    <t>FCL, LCL, LTL, FTL, Air, Customs clearance, Bulk, Rail, Courier services, Project cargoes, Warehousing, Breakbulk</t>
  </si>
  <si>
    <t>SII3G</t>
  </si>
  <si>
    <t>Bakersfield, CA</t>
  </si>
  <si>
    <t>DEVISE LOGISTICS INC</t>
  </si>
  <si>
    <t>Max Miller</t>
  </si>
  <si>
    <r>
      <rPr>
        <color rgb="FF1155CC"/>
        <u/>
      </rPr>
      <t>max@deviselogistics.com</t>
    </r>
  </si>
  <si>
    <t>FCL, LCL, bulk, breakbulk, FTL, LTL, rail, air, customs clearance, courier services, relocations, project cargoes, RoRo, warehousing</t>
  </si>
  <si>
    <t>UO7MI</t>
  </si>
  <si>
    <t>Cranford, NJ</t>
  </si>
  <si>
    <t>Target Transportation</t>
  </si>
  <si>
    <t>Don Lane</t>
  </si>
  <si>
    <r>
      <rPr>
        <color rgb="FF1155CC"/>
        <u/>
      </rPr>
      <t>dlane@targettrans.com</t>
    </r>
  </si>
  <si>
    <t>FCL, FTL, rail</t>
  </si>
  <si>
    <t>VROMJ</t>
  </si>
  <si>
    <t>Fort Worth, TX</t>
  </si>
  <si>
    <t>Trinity Logistics Inc</t>
  </si>
  <si>
    <t>Henry Brown</t>
  </si>
  <si>
    <r>
      <rPr>
        <color rgb="FF1155CC"/>
        <u/>
      </rPr>
      <t>henry.brown@trinitylogistics.com</t>
    </r>
  </si>
  <si>
    <t>FCL, FTL, LTL, breakbulk, project cargoes, rail, warehousing, RoRo</t>
  </si>
  <si>
    <t>ZA4HM</t>
  </si>
  <si>
    <t>Orlando, FL</t>
  </si>
  <si>
    <t>PS Freight Systems Inc</t>
  </si>
  <si>
    <t>Anita Singh</t>
  </si>
  <si>
    <r>
      <rPr>
        <color rgb="FF1155CC"/>
        <u/>
      </rPr>
      <t>anita.singh@psfreight.com</t>
    </r>
  </si>
  <si>
    <t>FCL, LCL, project cargoes, warehousing, RoRo, air, breakbulk</t>
  </si>
  <si>
    <t>4X8I6</t>
  </si>
  <si>
    <t>California</t>
  </si>
  <si>
    <t>GC Logistics, Inc.</t>
  </si>
  <si>
    <t>Anne Rein Carlin</t>
  </si>
  <si>
    <r>
      <rPr>
        <color rgb="FF1155CC"/>
        <u/>
      </rPr>
      <t>tina@gclogisticsinc.com</t>
    </r>
  </si>
  <si>
    <t>FCL, LCL, FTL, rail, air, customs clearance</t>
  </si>
  <si>
    <t>4JC7F</t>
  </si>
  <si>
    <t>TYR Logistics</t>
  </si>
  <si>
    <t>Marc Taylor</t>
  </si>
  <si>
    <r>
      <rPr>
        <color rgb="FF1155CC"/>
        <u/>
      </rPr>
      <t>mtaylor@tyrlogistics.com</t>
    </r>
  </si>
  <si>
    <t>Air, customs clearance, FCL, LCL</t>
  </si>
  <si>
    <t>XUREF</t>
  </si>
  <si>
    <t>Illinois</t>
  </si>
  <si>
    <t>EJQ Express Inc</t>
  </si>
  <si>
    <t>Jasdeep Singh</t>
  </si>
  <si>
    <r>
      <rPr>
        <color rgb="FF1155CC"/>
        <u/>
      </rPr>
      <t>jsingh@ejqexpress.com</t>
    </r>
  </si>
  <si>
    <t>FTL, rail, warehousing, FCL</t>
  </si>
  <si>
    <t>EESBA</t>
  </si>
  <si>
    <t>One Express Freight Inc.</t>
  </si>
  <si>
    <t>Naveed Muhammad</t>
  </si>
  <si>
    <r>
      <rPr>
        <color rgb="FF1155CC"/>
        <u/>
      </rPr>
      <t>info@onexfreight.com</t>
    </r>
  </si>
  <si>
    <t>FCL, LCL, LTL, FTL, air</t>
  </si>
  <si>
    <t>9H0P3</t>
  </si>
  <si>
    <t>Houston, TX</t>
  </si>
  <si>
    <t>Stinson Logistics LLC</t>
  </si>
  <si>
    <t>Diana Stinson</t>
  </si>
  <si>
    <r>
      <rPr>
        <color rgb="FF1155CC"/>
        <u/>
      </rPr>
      <t>leslie@txglobalsvs.com</t>
    </r>
  </si>
  <si>
    <t>FCL, LCL, air, FTL, LTL, warehousing</t>
  </si>
  <si>
    <t>SP28F</t>
  </si>
  <si>
    <t>New York, NY</t>
  </si>
  <si>
    <t>Freight Forwarding Solutions LLC</t>
  </si>
  <si>
    <t>Nicola Savella</t>
  </si>
  <si>
    <r>
      <rPr>
        <color rgb="FF1155CC"/>
        <u/>
      </rPr>
      <t>admin@freightforwardingsolutions.net</t>
    </r>
  </si>
  <si>
    <t>FTL, LTL, warehousing, air, FCL</t>
  </si>
  <si>
    <t>KCJF2</t>
  </si>
  <si>
    <t>Suwanee, GA</t>
  </si>
  <si>
    <t>Anthill Logistics Inc.</t>
  </si>
  <si>
    <t>David Yu</t>
  </si>
  <si>
    <r>
      <rPr>
        <color rgb="FF1155CC"/>
        <u/>
      </rPr>
      <t>info@anthillcrossdocking.com</t>
    </r>
  </si>
  <si>
    <t>KQT0W</t>
  </si>
  <si>
    <t>Carol Stream, IL</t>
  </si>
  <si>
    <t>Hancock International Corp</t>
  </si>
  <si>
    <t>Alisa Kolar</t>
  </si>
  <si>
    <r>
      <rPr>
        <color rgb="FF1155CC"/>
        <u/>
      </rPr>
      <t>alisa.kolar@hancockintl.com</t>
    </r>
  </si>
  <si>
    <t>FCL, LCL, bulk, breakbulk, FTL, rail, air, LTL, customs clearance, courier services, relocations, project cargoes, warehousing, RoRo</t>
  </si>
  <si>
    <t>AWDUB</t>
  </si>
  <si>
    <t>Fairfield, NJ</t>
  </si>
  <si>
    <t>JHUTTY TRANZ INC</t>
  </si>
  <si>
    <t>John Mathew</t>
  </si>
  <si>
    <r>
      <rPr>
        <color rgb="FF1155CC"/>
        <u/>
      </rPr>
      <t>johnmathew@jhuttytranz.us</t>
    </r>
  </si>
  <si>
    <t>FCL, LCL, bulk, FTL, LTL, customs clearance, warehousing, project cargoes, rail, air</t>
  </si>
  <si>
    <t>HBNWD</t>
  </si>
  <si>
    <t>Pennsylvania</t>
  </si>
  <si>
    <t>Spencer Vision Logistics Group LLC</t>
  </si>
  <si>
    <t>Johnathan Spencer</t>
  </si>
  <si>
    <r>
      <rPr>
        <color rgb="FF1155CC"/>
        <u/>
      </rPr>
      <t>jspencer@spencervisionlogistics.com</t>
    </r>
  </si>
  <si>
    <t>Warehousing, FTL, FCL</t>
  </si>
  <si>
    <t>8T2G7</t>
  </si>
  <si>
    <t>Cargo Passion</t>
  </si>
  <si>
    <t>Sardar Yar Muhammad</t>
  </si>
  <si>
    <r>
      <rPr>
        <color rgb="FF1155CC"/>
        <u/>
      </rPr>
      <t>us-cp@cargo-passion.com</t>
    </r>
  </si>
  <si>
    <t>FCL, LCL, FTL, LTL, air, customs clearance</t>
  </si>
  <si>
    <t>K76C6</t>
  </si>
  <si>
    <t>International Cargo Management</t>
  </si>
  <si>
    <t>Nabeel Nadeem</t>
  </si>
  <si>
    <r>
      <rPr>
        <color rgb="FF1155CC"/>
        <u/>
      </rPr>
      <t>pricing@icmcargo.com</t>
    </r>
  </si>
  <si>
    <t>FCL, LCL, air, customs clearance, bulk</t>
  </si>
  <si>
    <t>QSBPR</t>
  </si>
  <si>
    <t>Ram International Shipping</t>
  </si>
  <si>
    <t>Terry Chorniy</t>
  </si>
  <si>
    <r>
      <rPr>
        <color rgb="FF1155CC"/>
        <u/>
      </rPr>
      <t>sales1@ram-shipping.com</t>
    </r>
  </si>
  <si>
    <t>Air, customs clearance, courier services, FTL, FCL, project cargoes</t>
  </si>
  <si>
    <t>C0YQT</t>
  </si>
  <si>
    <t>Iowa City, IA</t>
  </si>
  <si>
    <t>Sab Logistic</t>
  </si>
  <si>
    <t>Mohamed Hasan</t>
  </si>
  <si>
    <r>
      <rPr>
        <color rgb="FF1155CC"/>
        <u/>
      </rPr>
      <t>mohasan@sablogisticllc.com</t>
    </r>
  </si>
  <si>
    <t>7TQ8G</t>
  </si>
  <si>
    <t>Indiana</t>
  </si>
  <si>
    <t>Chic Freight Forwarding LLC</t>
  </si>
  <si>
    <t>Jennifer Jackson</t>
  </si>
  <si>
    <r>
      <rPr>
        <color rgb="FF1155CC"/>
        <u/>
      </rPr>
      <t>usa.shipments@chicfreight.com</t>
    </r>
  </si>
  <si>
    <t>FCL, LCL, customs clearance, air, LTL, FTL, bulk, project cargoes, warehousing</t>
  </si>
  <si>
    <t>JBI4Q</t>
  </si>
  <si>
    <t>San Francisco, CA</t>
  </si>
  <si>
    <t>Amerigo Logistics LLC</t>
  </si>
  <si>
    <t>Elon Steve</t>
  </si>
  <si>
    <r>
      <rPr>
        <color rgb="FF1155CC"/>
        <u/>
      </rPr>
      <t>elon@amerigologistics.us</t>
    </r>
  </si>
  <si>
    <t>FCL, LCL, project cargoes, warehousing, bulk, FTL, LTL, rail, air</t>
  </si>
  <si>
    <t>6MIHY</t>
  </si>
  <si>
    <t>Chicago, IL</t>
  </si>
  <si>
    <t>Boatum Logistics LLC</t>
  </si>
  <si>
    <t>Henry Wilson</t>
  </si>
  <si>
    <r>
      <rPr>
        <color rgb="FF1155CC"/>
        <u/>
      </rPr>
      <t>henry.wilson@boatium.net</t>
    </r>
  </si>
  <si>
    <t>FCL, LCL, bulk, breakbulk, FTL, LTL, rail, project cargoes, RoRo, warehousing</t>
  </si>
  <si>
    <t>CF9JP</t>
  </si>
  <si>
    <t>Fontana, CA</t>
  </si>
  <si>
    <t>Ship World Inc</t>
  </si>
  <si>
    <t>David Smith</t>
  </si>
  <si>
    <r>
      <rPr>
        <color rgb="FF1155CC"/>
        <u/>
      </rPr>
      <t>david@shipworldinc.com</t>
    </r>
  </si>
  <si>
    <t>5S5AK</t>
  </si>
  <si>
    <t>Westland, MI</t>
  </si>
  <si>
    <t>KTC Logistics Company LLC</t>
  </si>
  <si>
    <t>Kavinder Singh</t>
  </si>
  <si>
    <r>
      <rPr>
        <color rgb="FF1155CC"/>
        <u/>
      </rPr>
      <t>support@ktclogisticscompany.com</t>
    </r>
  </si>
  <si>
    <t>FTL, LTL, rail, customs clearance, warehousing, bulk</t>
  </si>
  <si>
    <t>QAMIT</t>
  </si>
  <si>
    <t>Cypress, TX</t>
  </si>
  <si>
    <t>Nav Logistics Inc</t>
  </si>
  <si>
    <t>Jose Watson</t>
  </si>
  <si>
    <r>
      <rPr>
        <color rgb="FF1155CC"/>
        <u/>
      </rPr>
      <t>jose@nlius.com</t>
    </r>
  </si>
  <si>
    <t>FCL, LCL, bulk, breakbulk, FTL, LTL, rail, air, customs clearance, relocations, project cargoes, RoRo, warehousing</t>
  </si>
  <si>
    <t>WJLIQ</t>
  </si>
  <si>
    <t>Wyoming</t>
  </si>
  <si>
    <t>Proton International LLC</t>
  </si>
  <si>
    <t>Alshimy Mohamed</t>
  </si>
  <si>
    <r>
      <rPr>
        <color rgb="FF1155CC"/>
        <u/>
      </rPr>
      <t>info@protondustry.com</t>
    </r>
  </si>
  <si>
    <t>Miami, FL</t>
  </si>
  <si>
    <r>
      <rPr>
        <color rgb="FF1155CC"/>
        <u/>
      </rPr>
      <t>jpdematteis@sea-side.us</t>
    </r>
  </si>
  <si>
    <t>FCL, LCL, bulk, project cargoes, air</t>
  </si>
  <si>
    <t>Texas City, TX</t>
  </si>
  <si>
    <r>
      <rPr>
        <color rgb="FF1155CC"/>
        <u/>
      </rPr>
      <t>info@quick-ex.net</t>
    </r>
  </si>
  <si>
    <t>LTL, FTL, relocations, courier services, warehousing</t>
  </si>
  <si>
    <r>
      <rPr>
        <color rgb="FF1155CC"/>
        <u/>
      </rPr>
      <t>info@bayshorelogistics.com</t>
    </r>
  </si>
  <si>
    <t>FCL, LCL, FTL, LTL, customs clearance, air</t>
  </si>
  <si>
    <t>Miami Lakes, FL</t>
  </si>
  <si>
    <r>
      <rPr>
        <color rgb="FF1155CC"/>
        <u/>
      </rPr>
      <t>dfamiausa@knalogistics.com</t>
    </r>
  </si>
  <si>
    <t>FTL, LTL, air, FCL, LCL</t>
  </si>
  <si>
    <r>
      <rPr>
        <color rgb="FF1155CC"/>
        <u/>
      </rPr>
      <t>americas@cargomondo.com</t>
    </r>
  </si>
  <si>
    <t>FCL, LCL, bulk, FTL, LTL, air, rail, customs clearance, courier services, relocations, project cargoes, RoRo, warehousing</t>
  </si>
  <si>
    <t>Diamond Bar, CA</t>
  </si>
  <si>
    <r>
      <rPr>
        <color rgb="FF1155CC"/>
        <u/>
      </rPr>
      <t>david.tsai@lax.aftyusa.com</t>
    </r>
  </si>
  <si>
    <t>FCL, LCL, customs clearance, project cargoes, warehousing, FTL, LTL, rail</t>
  </si>
  <si>
    <r>
      <rPr>
        <color rgb="FF1155CC"/>
        <u/>
      </rPr>
      <t>team@terabrokerage.com</t>
    </r>
  </si>
  <si>
    <t>FTL, LTL, customs clearance, courier services, relocations, FCL, LCL</t>
  </si>
  <si>
    <r>
      <rPr>
        <color rgb="FF1155CC"/>
        <u/>
      </rPr>
      <t>mona@terabrokerage.com</t>
    </r>
  </si>
  <si>
    <t>Frank M. Ramirez</t>
  </si>
  <si>
    <r>
      <rPr>
        <color rgb="FF1155CC"/>
        <u/>
      </rPr>
      <t>frankr@mswarehousing.net</t>
    </r>
  </si>
  <si>
    <r>
      <rPr>
        <color rgb="FF1155CC"/>
        <u/>
      </rPr>
      <t>zeki.sensoz@nitlogistics.com</t>
    </r>
  </si>
  <si>
    <t>FCL, LCL, FTL, LTL, rail, air, customs clearance</t>
  </si>
  <si>
    <t>Lake Worth, FL</t>
  </si>
  <si>
    <r>
      <rPr>
        <color rgb="FF1155CC"/>
        <u/>
      </rPr>
      <t>paula@exfreight.com</t>
    </r>
  </si>
  <si>
    <t>FCL, LCL, air, project cargoes</t>
  </si>
  <si>
    <t>FLUZO</t>
  </si>
  <si>
    <t>Golden Bridge International, Inc.</t>
  </si>
  <si>
    <t>Andrew Murjani</t>
  </si>
  <si>
    <r>
      <rPr>
        <color rgb="FF1155CC"/>
        <u/>
      </rPr>
      <t>andrew.murjani@goldenbridge-intl.com</t>
    </r>
  </si>
  <si>
    <t>FCL, LCL, LTL, FTL, air, customs clearance</t>
  </si>
  <si>
    <t>U1FF2</t>
  </si>
  <si>
    <t>Carrollton, TX</t>
  </si>
  <si>
    <t>Deepend Freight Services</t>
  </si>
  <si>
    <r>
      <rPr>
        <color rgb="FF1155CC"/>
        <u/>
      </rPr>
      <t>henry.brown@deependfreightservices.com</t>
    </r>
  </si>
  <si>
    <t>FTL, breakbulk, FCL, bulk</t>
  </si>
  <si>
    <t>PBY9M</t>
  </si>
  <si>
    <t>Lowfreightrate.ca LTD</t>
  </si>
  <si>
    <t>Salim Moledina</t>
  </si>
  <si>
    <r>
      <rPr>
        <color rgb="FF1155CC"/>
        <u/>
      </rPr>
      <t>quotes-usa@lowfreightrate.ca</t>
    </r>
  </si>
  <si>
    <t>FCL, LCL, air</t>
  </si>
  <si>
    <t>QNK0V</t>
  </si>
  <si>
    <t>Los Angeles, CA</t>
  </si>
  <si>
    <t>Constant Supply Chain Solutions</t>
  </si>
  <si>
    <t>Daniel Sanchez</t>
  </si>
  <si>
    <r>
      <rPr>
        <color rgb="FF1155CC"/>
        <u/>
      </rPr>
      <t>daniel@constantsupplycs.com</t>
    </r>
  </si>
  <si>
    <t>FCL, LCL, FTL, LTL, air</t>
  </si>
  <si>
    <t>DTYH9</t>
  </si>
  <si>
    <t>Svojas Inc.</t>
  </si>
  <si>
    <t>Abby Young</t>
  </si>
  <si>
    <r>
      <rPr>
        <color rgb="FF1155CC"/>
        <u/>
      </rPr>
      <t>info@svojasinc.com</t>
    </r>
  </si>
  <si>
    <t>BTJHZ</t>
  </si>
  <si>
    <t>Missouri</t>
  </si>
  <si>
    <t>Leviathan Freight …</t>
  </si>
  <si>
    <t>Jordan Chenier</t>
  </si>
  <si>
    <r>
      <rPr>
        <color rgb="FF1155CC"/>
        <u/>
      </rPr>
      <t>jordanchenier@leviathanfreight.com</t>
    </r>
  </si>
  <si>
    <t>LTL, courier services (plus other multimodal services)</t>
  </si>
  <si>
    <t>MIV00</t>
  </si>
  <si>
    <t>Vienna, VA</t>
  </si>
  <si>
    <t>Optimize Logistics …</t>
  </si>
  <si>
    <t>Erik Korondy</t>
  </si>
  <si>
    <r>
      <rPr>
        <color rgb="FF1155CC"/>
        <u/>
      </rPr>
      <t>erik.korondy@optimize3pl.com</t>
    </r>
  </si>
  <si>
    <t>FCL, LCL</t>
  </si>
  <si>
    <t>DIAP6</t>
  </si>
  <si>
    <t>Maplewood, NJ</t>
  </si>
  <si>
    <t>Isthetruckinformet … (trucking marketplace)</t>
  </si>
  <si>
    <t>Sindle Forbes</t>
  </si>
  <si>
    <r>
      <rPr>
        <color rgb="FF1155CC"/>
        <u/>
      </rPr>
      <t>admin@netruckingforme.com</t>
    </r>
  </si>
  <si>
    <t>Courier services</t>
  </si>
  <si>
    <t>RCXZZ</t>
  </si>
  <si>
    <t>Norfolk, VA</t>
  </si>
  <si>
    <t>Crossfire Logistics</t>
  </si>
  <si>
    <t>Nic Wolk</t>
  </si>
  <si>
    <r>
      <rPr>
        <color rgb="FF1155CC"/>
        <u/>
      </rPr>
      <t>nic.wolk@crossfirelogistics.com</t>
    </r>
  </si>
  <si>
    <t>KQ62K</t>
  </si>
  <si>
    <t>Limco Logistics Inc</t>
  </si>
  <si>
    <t>Michael Lyamke</t>
  </si>
  <si>
    <r>
      <rPr>
        <color rgb="FF1155CC"/>
        <u/>
      </rPr>
      <t>mike@limcologistics.com</t>
    </r>
  </si>
  <si>
    <t>EL62C</t>
  </si>
  <si>
    <t>Donen Cargo / Donem Cargo</t>
  </si>
  <si>
    <t>Chiemeka Onwu</t>
  </si>
  <si>
    <r>
      <rPr>
        <color rgb="FF1155CC"/>
        <u/>
      </rPr>
      <t>chiemeka@donencargo.com</t>
    </r>
  </si>
  <si>
    <t>5MY7Z</t>
  </si>
  <si>
    <t>Montgomery, AL</t>
  </si>
  <si>
    <t>Gorilla Logistics LLC</t>
  </si>
  <si>
    <t>Kevin Knerr</t>
  </si>
  <si>
    <r>
      <rPr>
        <color rgb="FF1155CC"/>
        <u/>
      </rPr>
      <t>kevin@gorillalogistics.com</t>
    </r>
  </si>
  <si>
    <t>F15P9</t>
  </si>
  <si>
    <t>Atlantic Pacific Lines</t>
  </si>
  <si>
    <t>Bobby / CJ</t>
  </si>
  <si>
    <r>
      <rPr>
        <color rgb="FF1155CC"/>
        <u/>
      </rPr>
      <t>quotes@atlanticpacificlines.com</t>
    </r>
  </si>
  <si>
    <t>LOPN5</t>
  </si>
  <si>
    <t>KazTrans Limited Partners</t>
  </si>
  <si>
    <t>Darya Tsoy</t>
  </si>
  <si>
    <r>
      <rPr>
        <color rgb="FF1155CC"/>
        <u/>
      </rPr>
      <t>quotes@gtklus.com</t>
    </r>
  </si>
  <si>
    <t>683CX</t>
  </si>
  <si>
    <t>Center Valley Logistics Management</t>
  </si>
  <si>
    <t>Amninder Malhi</t>
  </si>
  <si>
    <r>
      <rPr>
        <color rgb="FF1155CC"/>
        <u/>
      </rPr>
      <t>amnindermalhi@cvclgx.com</t>
    </r>
  </si>
  <si>
    <t>D2JC?</t>
  </si>
  <si>
    <t>Doral, FL</t>
  </si>
  <si>
    <t>EvoluXion Y LLC</t>
  </si>
  <si>
    <t>Shawn Cooper</t>
  </si>
  <si>
    <r>
      <rPr>
        <color rgb="FF1155CC"/>
        <u/>
      </rPr>
      <t>shawn@evoluxiony.com</t>
    </r>
  </si>
  <si>
    <t>765Q2</t>
  </si>
  <si>
    <t>Atlantic Transit Solutions</t>
  </si>
  <si>
    <t>Mohammed —</t>
  </si>
  <si>
    <r>
      <rPr>
        <color rgb="FF1155CC"/>
        <u/>
      </rPr>
      <t>mohammed@atransitsolutions.com</t>
    </r>
  </si>
  <si>
    <t>7GXMF</t>
  </si>
  <si>
    <t>Jacksonville, FL</t>
  </si>
  <si>
    <t>GREEN LIGHT Auto Transport</t>
  </si>
  <si>
    <t>Daisy Abi Abdou</t>
  </si>
  <si>
    <r>
      <rPr>
        <color rgb="FF1155CC"/>
        <u/>
      </rPr>
      <t>booking@greenlightautotransportation.com</t>
    </r>
  </si>
  <si>
    <t>UF9ZY</t>
  </si>
  <si>
    <t>Delaware</t>
  </si>
  <si>
    <t>Cosmo Logistics LLC</t>
  </si>
  <si>
    <t>Rebecca John</t>
  </si>
  <si>
    <r>
      <rPr>
        <color rgb="FF1155CC"/>
        <u/>
      </rPr>
      <t>rebecca@cosmologisticsllc.com</t>
    </r>
  </si>
  <si>
    <t>746XU</t>
  </si>
  <si>
    <t>Best4Shipping Inc</t>
  </si>
  <si>
    <t>Oluwaseun Ogunleye</t>
  </si>
  <si>
    <r>
      <rPr>
        <color rgb="FF1155CC"/>
        <u/>
      </rPr>
      <t>ogunleye@best4shippingny.com</t>
    </r>
  </si>
  <si>
    <t>A2K5T</t>
  </si>
  <si>
    <t>Manvel, TX</t>
  </si>
  <si>
    <t>Pacavo Logistics Inc</t>
  </si>
  <si>
    <t>Peter Johns</t>
  </si>
  <si>
    <r>
      <rPr>
        <color rgb="FF1155CC"/>
        <u/>
      </rPr>
      <t>peter@pacavologistics.com</t>
    </r>
  </si>
  <si>
    <t>G3143</t>
  </si>
  <si>
    <t>Highlands, TX</t>
  </si>
  <si>
    <t>Smiles Motors LLC</t>
  </si>
  <si>
    <t>Nosakhare Osemwengie</t>
  </si>
  <si>
    <r>
      <rPr>
        <color rgb="FF1155CC"/>
        <u/>
      </rPr>
      <t>directshipper@smilesmotors.com</t>
    </r>
  </si>
  <si>
    <t>C1Z5N</t>
  </si>
  <si>
    <t>Falls Church, VA</t>
  </si>
  <si>
    <t>JIYO Logistics</t>
  </si>
  <si>
    <t>Dennis Brown</t>
  </si>
  <si>
    <r>
      <rPr>
        <color rgb="FF1155CC"/>
        <u/>
      </rPr>
      <t>manager@jiyologistics.com</t>
    </r>
  </si>
  <si>
    <t>OFFG4</t>
  </si>
  <si>
    <t>Virginia</t>
  </si>
  <si>
    <t>Rely‑ance Transportation Services</t>
  </si>
  <si>
    <t>Nichole Smith</t>
  </si>
  <si>
    <r>
      <rPr>
        <color rgb="FF1155CC"/>
        <u/>
      </rPr>
      <t>nichole.smith@relyancetransport.com</t>
    </r>
  </si>
  <si>
    <t>2JWPR</t>
  </si>
  <si>
    <t>Roselle Park, NJ</t>
  </si>
  <si>
    <t>Green Cargo Limited</t>
  </si>
  <si>
    <t>Catherine Tello</t>
  </si>
  <si>
    <r>
      <rPr>
        <color rgb="FF1155CC"/>
        <u/>
      </rPr>
      <t>catherine.tello@greencargolimited.com</t>
    </r>
  </si>
  <si>
    <t>60W9O</t>
  </si>
  <si>
    <t>Sayreville, NJ</t>
  </si>
  <si>
    <t>Gravitas International Logistics</t>
  </si>
  <si>
    <t>Yousuf Admani</t>
  </si>
  <si>
    <r>
      <rPr>
        <color rgb="FF1155CC"/>
        <u/>
      </rPr>
      <t>yousuf@gravitaslogistics.com</t>
    </r>
  </si>
  <si>
    <t>FCL, FTL, Air, Customs clearance</t>
  </si>
  <si>
    <t>P1BKW</t>
  </si>
  <si>
    <t>US Ravens Logistics</t>
  </si>
  <si>
    <t>Steven Ross</t>
  </si>
  <si>
    <r>
      <rPr>
        <color rgb="FF1155CC"/>
        <u/>
      </rPr>
      <t>stevenross@usravens.com</t>
    </r>
  </si>
  <si>
    <t>I0TKZ</t>
  </si>
  <si>
    <t>Michigan City, IN</t>
  </si>
  <si>
    <t>Varstar Alliance Inc</t>
  </si>
  <si>
    <t>Eric Wilson</t>
  </si>
  <si>
    <r>
      <rPr>
        <color rgb="FF1155CC"/>
        <u/>
      </rPr>
      <t>eric.w@varstaralliance.com</t>
    </r>
  </si>
  <si>
    <t>Q15YE</t>
  </si>
  <si>
    <t>TIF Worldwide Logistics</t>
  </si>
  <si>
    <t>Luis Torres</t>
  </si>
  <si>
    <r>
      <rPr>
        <color rgb="FF1155CC"/>
        <u/>
      </rPr>
      <t>luis@tifww.com</t>
    </r>
  </si>
  <si>
    <t>FCL, LCL, FTL, LTL, Air</t>
  </si>
  <si>
    <t>7Y12M</t>
  </si>
  <si>
    <t>Franksville, WI</t>
  </si>
  <si>
    <t>Berkshire Brokerage</t>
  </si>
  <si>
    <t>Harry Smith</t>
  </si>
  <si>
    <r>
      <rPr>
        <color rgb="FF1155CC"/>
        <u/>
      </rPr>
      <t>harry@berkshirebrokers.com</t>
    </r>
  </si>
  <si>
    <t>FTL, LTL, Warehousing</t>
  </si>
  <si>
    <t>7LQCL</t>
  </si>
  <si>
    <t>Piscataway, NJ</t>
  </si>
  <si>
    <t>TEU Global</t>
  </si>
  <si>
    <t>Paul Deluca</t>
  </si>
  <si>
    <r>
      <rPr>
        <color rgb="FF1155CC"/>
        <u/>
      </rPr>
      <t>paul.deluca@teuinc.com</t>
    </r>
  </si>
  <si>
    <t>GK0IL</t>
  </si>
  <si>
    <t>Florida</t>
  </si>
  <si>
    <t>All Bound Logistics</t>
  </si>
  <si>
    <t>Rob Wilson</t>
  </si>
  <si>
    <r>
      <rPr>
        <color rgb="FF1155CC"/>
        <u/>
      </rPr>
      <t>rob.wilson@allboundlogistics.com</t>
    </r>
  </si>
  <si>
    <t>FNW0R</t>
  </si>
  <si>
    <t>Manteca, CA</t>
  </si>
  <si>
    <t>BS Roadlines Inc</t>
  </si>
  <si>
    <t>Elly Martin</t>
  </si>
  <si>
    <r>
      <rPr>
        <color rgb="FF1155CC"/>
        <u/>
      </rPr>
      <t>elly.martin@bsroadlines.com</t>
    </r>
  </si>
  <si>
    <t>0O9ZK</t>
  </si>
  <si>
    <t>Maineville, OH</t>
  </si>
  <si>
    <t>MOMOS Logistics</t>
  </si>
  <si>
    <t>John Smith</t>
  </si>
  <si>
    <r>
      <rPr>
        <color rgb="FF1155CC"/>
        <u/>
      </rPr>
      <t>john.smith@momogistics.com</t>
    </r>
  </si>
  <si>
    <t>FTL, Rail</t>
  </si>
  <si>
    <t>XPKIM</t>
  </si>
  <si>
    <t>Carcam Global Logistics</t>
  </si>
  <si>
    <t>Carlos Arango</t>
  </si>
  <si>
    <r>
      <rPr>
        <color rgb="FF1155CC"/>
        <u/>
      </rPr>
      <t>carlos.arango@carcamlogistics.com</t>
    </r>
  </si>
  <si>
    <t>XSV3H</t>
  </si>
  <si>
    <t>DIMAR International</t>
  </si>
  <si>
    <t>Federico Marmolejos</t>
  </si>
  <si>
    <r>
      <rPr>
        <color rgb="FF1155CC"/>
        <u/>
      </rPr>
      <t>federico.marmolejos@dimarint.com</t>
    </r>
  </si>
  <si>
    <t>HSUL5</t>
  </si>
  <si>
    <t>Fleet Force</t>
  </si>
  <si>
    <t>Cristina Diaz</t>
  </si>
  <si>
    <r>
      <rPr>
        <color rgb="FF1155CC"/>
        <u/>
      </rPr>
      <t>cdiaz@fleetforce.com</t>
    </r>
  </si>
  <si>
    <t>DQMH5</t>
  </si>
  <si>
    <t>Reidsville, NC</t>
  </si>
  <si>
    <t>LP301 Transport Inc</t>
  </si>
  <si>
    <t>Lamar White</t>
  </si>
  <si>
    <r>
      <rPr>
        <color rgb="FF1155CC"/>
        <u/>
      </rPr>
      <t>lamar.white@lp301transport.com</t>
    </r>
  </si>
  <si>
    <t>KRKH5</t>
  </si>
  <si>
    <t>Stewart Global Logistics</t>
  </si>
  <si>
    <t>Reginald Stewart</t>
  </si>
  <si>
    <r>
      <rPr>
        <color rgb="FF1155CC"/>
        <u/>
      </rPr>
      <t>reginald.stewart@stewartglobal.com</t>
    </r>
  </si>
  <si>
    <t>GUDTH</t>
  </si>
  <si>
    <t>Washington, DC</t>
  </si>
  <si>
    <t>Glory Logistics LLC</t>
  </si>
  <si>
    <t>Gloria Gil</t>
  </si>
  <si>
    <r>
      <rPr>
        <color rgb="FF1155CC"/>
        <u/>
      </rPr>
      <t>dispatch@glorylogisticsllc.com</t>
    </r>
  </si>
  <si>
    <t>GI4UJ</t>
  </si>
  <si>
    <t>West Covina, CA</t>
  </si>
  <si>
    <t>Childs Trucking LLC</t>
  </si>
  <si>
    <t>Colea Childs</t>
  </si>
  <si>
    <r>
      <rPr>
        <color rgb="FF1155CC"/>
        <u/>
      </rPr>
      <t>coleaj@childstruckingllc.com</t>
    </r>
  </si>
  <si>
    <t>LTL, FTL</t>
  </si>
  <si>
    <t>AEV2R</t>
  </si>
  <si>
    <t>Dayton, OH</t>
  </si>
  <si>
    <t>Yes Cargo Logistics</t>
  </si>
  <si>
    <t>Victor Rodriguez</t>
  </si>
  <si>
    <r>
      <rPr>
        <color rgb="FF1155CC"/>
        <u/>
      </rPr>
      <t>victor@yescargo.net</t>
    </r>
  </si>
  <si>
    <t>XGI3J</t>
  </si>
  <si>
    <t>Falco Cargo</t>
  </si>
  <si>
    <t>Franz Lara</t>
  </si>
  <si>
    <r>
      <rPr>
        <color rgb="FF1155CC"/>
        <u/>
      </rPr>
      <t>franz.lara@falcocargo.com</t>
    </r>
  </si>
  <si>
    <t>JTD26</t>
  </si>
  <si>
    <t>Georgia</t>
  </si>
  <si>
    <t>Maxx Solutions Brokerage</t>
  </si>
  <si>
    <t>Derek Maxx</t>
  </si>
  <si>
    <r>
      <rPr>
        <color rgb="FF1155CC"/>
        <u/>
      </rPr>
      <t>derek@maxx.solutions</t>
    </r>
  </si>
  <si>
    <t>GXAF0</t>
  </si>
  <si>
    <t>Melville, NY</t>
  </si>
  <si>
    <t>American Logistics Group (ALG)</t>
  </si>
  <si>
    <t>Warren Mahler</t>
  </si>
  <si>
    <r>
      <rPr>
        <color rgb="FF1155CC"/>
        <u/>
      </rPr>
      <t>warren@alg.us.com</t>
    </r>
  </si>
  <si>
    <t>LRG53</t>
  </si>
  <si>
    <t>Panama City, FL</t>
  </si>
  <si>
    <t>Capital Logistics Inc</t>
  </si>
  <si>
    <t>Kevin Gray</t>
  </si>
  <si>
    <r>
      <rPr>
        <color rgb="FF1155CC"/>
        <u/>
      </rPr>
      <t>kevin@clfreights.com</t>
    </r>
  </si>
  <si>
    <t>FKACM</t>
  </si>
  <si>
    <t>Ontario, CA</t>
  </si>
  <si>
    <t>Load Konnect</t>
  </si>
  <si>
    <t>Sylvester Luther</t>
  </si>
  <si>
    <r>
      <rPr>
        <color rgb="FF1155CC"/>
        <u/>
      </rPr>
      <t>sylvester.luther@loadkonnect.com</t>
    </r>
  </si>
  <si>
    <t>33PJ2</t>
  </si>
  <si>
    <t>Ally Logistics LLC</t>
  </si>
  <si>
    <t>Marc Muilenberg</t>
  </si>
  <si>
    <r>
      <rPr>
        <color rgb="FF1155CC"/>
        <u/>
      </rPr>
      <t>marc.muilenberg@allylogistics.com</t>
    </r>
  </si>
  <si>
    <t>J8QBE</t>
  </si>
  <si>
    <t>Clemmons, NC</t>
  </si>
  <si>
    <t>Trans‑Ex</t>
  </si>
  <si>
    <r>
      <rPr>
        <color rgb="FF1155CC"/>
        <u/>
      </rPr>
      <t>johnsmith@transex.us</t>
    </r>
  </si>
  <si>
    <t>14FYY</t>
  </si>
  <si>
    <t>Laguna Beach, CA</t>
  </si>
  <si>
    <t>ARDI Express LLC</t>
  </si>
  <si>
    <t>Igor Lis</t>
  </si>
  <si>
    <r>
      <rPr>
        <color rgb="FF1155CC"/>
        <u/>
      </rPr>
      <t>igor.lis@ardiexpress.com</t>
    </r>
  </si>
  <si>
    <t>TLEDD</t>
  </si>
  <si>
    <t>Kompass Cargo LLC</t>
  </si>
  <si>
    <t>Gianfranco Galese</t>
  </si>
  <si>
    <r>
      <rPr>
        <color rgb="FF1155CC"/>
        <u/>
      </rPr>
      <t>gianfranco.galese@kompassc.com</t>
    </r>
  </si>
  <si>
    <t>I56BZ</t>
  </si>
  <si>
    <t>Kent, WA</t>
  </si>
  <si>
    <t>DT Lines</t>
  </si>
  <si>
    <t>Danny Miller</t>
  </si>
  <si>
    <r>
      <rPr>
        <color rgb="FF1155CC"/>
        <u/>
      </rPr>
      <t>danny.m@dtlines.us</t>
    </r>
  </si>
  <si>
    <t>7OUM3</t>
  </si>
  <si>
    <t>Globe Chain Logistics</t>
  </si>
  <si>
    <t>Hamed Saadat</t>
  </si>
  <si>
    <r>
      <rPr>
        <color rgb="FF1155CC"/>
        <u/>
      </rPr>
      <t>hsaadat@globechainlogistics.com</t>
    </r>
  </si>
  <si>
    <t>7NFVWN</t>
  </si>
  <si>
    <t>Athens Traders Group</t>
  </si>
  <si>
    <t>Jose Torres</t>
  </si>
  <si>
    <r>
      <rPr>
        <color rgb="FF1155CC"/>
        <u/>
      </rPr>
      <t>info@athensgrouptrx.com</t>
    </r>
  </si>
  <si>
    <t>9FP2B</t>
  </si>
  <si>
    <t>Ryaan Transport</t>
  </si>
  <si>
    <t>Brian Miller</t>
  </si>
  <si>
    <r>
      <rPr>
        <color rgb="FF1155CC"/>
        <u/>
      </rPr>
      <t>dispatch1@ryaantrans.com</t>
    </r>
  </si>
  <si>
    <t>FCL</t>
  </si>
  <si>
    <t>BC8SZ</t>
  </si>
  <si>
    <t>Somerset, NJ</t>
  </si>
  <si>
    <t>Con‑Tra America</t>
  </si>
  <si>
    <t>Alessa Pinto</t>
  </si>
  <si>
    <r>
      <rPr>
        <color rgb="FF1155CC"/>
        <u/>
      </rPr>
      <t>apinto@contraamerica.com</t>
    </r>
  </si>
  <si>
    <t>WJSJT</t>
  </si>
  <si>
    <t>Eternity Logistics</t>
  </si>
  <si>
    <t>Nicole Davis</t>
  </si>
  <si>
    <r>
      <rPr>
        <color rgb="FF1155CC"/>
        <u/>
      </rPr>
      <t>nicole.davis@eternitylogistics.com</t>
    </r>
  </si>
  <si>
    <t>A7ZBF</t>
  </si>
  <si>
    <t>Quacy’s Container Lines</t>
  </si>
  <si>
    <t>Shevon Abraham</t>
  </si>
  <si>
    <r>
      <rPr>
        <color rgb="FF1155CC"/>
        <u/>
      </rPr>
      <t>shevon@quacyscontainerlines.com</t>
    </r>
  </si>
  <si>
    <t>FCL, FCL (container services)</t>
  </si>
  <si>
    <t>Q4PAV</t>
  </si>
  <si>
    <t>ShipIt Logistics</t>
  </si>
  <si>
    <t>Kasra Ferasat</t>
  </si>
  <si>
    <r>
      <rPr>
        <color rgb="FF1155CC"/>
        <u/>
      </rPr>
      <t>kasra@shipit.com</t>
    </r>
  </si>
  <si>
    <t>RY3I4</t>
  </si>
  <si>
    <t>Lenexa, KS</t>
  </si>
  <si>
    <t>Current International</t>
  </si>
  <si>
    <t>Nicholas Sanders</t>
  </si>
  <si>
    <t>nsanders@current‑intl.com</t>
  </si>
  <si>
    <t>UMGWZ</t>
  </si>
  <si>
    <t>Vab Logistics Inc</t>
  </si>
  <si>
    <t>Mohit Sharma</t>
  </si>
  <si>
    <r>
      <rPr>
        <color rgb="FF1155CC"/>
        <u/>
      </rPr>
      <t>mohit@vablogisticsinc.com</t>
    </r>
  </si>
  <si>
    <t>NG26Y</t>
  </si>
  <si>
    <t>Rule Logistics</t>
  </si>
  <si>
    <t>Juan Constain</t>
  </si>
  <si>
    <t>juan.constain@rule‑logistics.com</t>
  </si>
  <si>
    <t>CC20Y</t>
  </si>
  <si>
    <t>Canaan Xpress</t>
  </si>
  <si>
    <t>Darrell Cheng</t>
  </si>
  <si>
    <r>
      <rPr>
        <color rgb="FF1155CC"/>
        <u/>
      </rPr>
      <t>darrell@canaanxpress.com</t>
    </r>
  </si>
  <si>
    <t>FCL, FTL</t>
  </si>
  <si>
    <t>JMG6D</t>
  </si>
  <si>
    <t>Los Alamitos, CA</t>
  </si>
  <si>
    <t>American Freight</t>
  </si>
  <si>
    <t>Bruce Souls</t>
  </si>
  <si>
    <r>
      <rPr>
        <color rgb="FF1155CC"/>
        <u/>
      </rPr>
      <t>bruce.souls@afstil.com</t>
    </r>
  </si>
  <si>
    <t>N7HM8</t>
  </si>
  <si>
    <t>New Hampshire</t>
  </si>
  <si>
    <t>All‑US World Trade Express</t>
  </si>
  <si>
    <t>Dennis Allen</t>
  </si>
  <si>
    <r>
      <rPr>
        <color rgb="FF1155CC"/>
        <u/>
      </rPr>
      <t>agent@alusworldtradeexpress.com</t>
    </r>
  </si>
  <si>
    <t>YV3BD</t>
  </si>
  <si>
    <t>Hermosa Beach, CA</t>
  </si>
  <si>
    <t>101 Supply Chain Group</t>
  </si>
  <si>
    <t>Andrei Jansen</t>
  </si>
  <si>
    <r>
      <rPr>
        <color rgb="FF1155CC"/>
        <u/>
      </rPr>
      <t>andrei.jansen@101scg.com</t>
    </r>
  </si>
  <si>
    <t>74AZK</t>
  </si>
  <si>
    <t>Miami Global Lines</t>
  </si>
  <si>
    <t>Hamid Hussain</t>
  </si>
  <si>
    <r>
      <rPr>
        <color rgb="FF1155CC"/>
        <u/>
      </rPr>
      <t>hamidh@miamigloballines.com</t>
    </r>
  </si>
  <si>
    <t>X7R39</t>
  </si>
  <si>
    <t>Gulf Marine Contracting</t>
  </si>
  <si>
    <t>Patrick Kuys</t>
  </si>
  <si>
    <r>
      <rPr>
        <color rgb="FF1155CC"/>
        <u/>
      </rPr>
      <t>patrick.kuys@gulfmarinecontracting.com</t>
    </r>
  </si>
  <si>
    <t>U4E03</t>
  </si>
  <si>
    <t>South Plainfield, NJ</t>
  </si>
  <si>
    <t>KSB Shipping &amp; Logistics</t>
  </si>
  <si>
    <t>Hardik Kansara</t>
  </si>
  <si>
    <r>
      <rPr>
        <color rgb="FF1155CC"/>
        <u/>
      </rPr>
      <t>hardik.kansara@ksbshipping.com</t>
    </r>
  </si>
  <si>
    <t>FCL, Bulk cargo</t>
  </si>
  <si>
    <t>HO4Y8</t>
  </si>
  <si>
    <t>Phoenix, AZ</t>
  </si>
  <si>
    <t>GJH Logistic Services</t>
  </si>
  <si>
    <t>Sylvia Smith</t>
  </si>
  <si>
    <r>
      <rPr>
        <color rgb="FF1155CC"/>
        <u/>
      </rPr>
      <t>sylvia@gjhlogisticservices.com</t>
    </r>
  </si>
  <si>
    <t>Custom logistics services</t>
  </si>
  <si>
    <t>5INS4</t>
  </si>
  <si>
    <t>CNC Worldwide, Inc.</t>
  </si>
  <si>
    <t>Diego Yoon</t>
  </si>
  <si>
    <r>
      <rPr>
        <color rgb="FF1155CC"/>
        <u/>
      </rPr>
      <t>diego.yoon@cncworldwide.com</t>
    </r>
  </si>
  <si>
    <t>KF96H</t>
  </si>
  <si>
    <t>Atlanta, GA</t>
  </si>
  <si>
    <t>Norse Freight</t>
  </si>
  <si>
    <t>Johnny Flaten</t>
  </si>
  <si>
    <t>johnny@norse‑freight.com</t>
  </si>
  <si>
    <t>N9NMV</t>
  </si>
  <si>
    <t>South Pasadena, CA</t>
  </si>
  <si>
    <t>Miao Enterprises Inc</t>
  </si>
  <si>
    <t>Peter Miao</t>
  </si>
  <si>
    <r>
      <rPr>
        <color rgb="FF1155CC"/>
        <u/>
      </rPr>
      <t>petermiao@tufreighter.com</t>
    </r>
  </si>
  <si>
    <t>VPQ0D</t>
  </si>
  <si>
    <t>Corona, CA</t>
  </si>
  <si>
    <t>Kinghood International</t>
  </si>
  <si>
    <t>Jon Leong</t>
  </si>
  <si>
    <r>
      <rPr>
        <color rgb="FF1155CC"/>
        <u/>
      </rPr>
      <t>jon@kinghoodintl.com</t>
    </r>
  </si>
  <si>
    <t>1F1S5</t>
  </si>
  <si>
    <t>SIO Logistics LLC</t>
  </si>
  <si>
    <t>Raza Rao</t>
  </si>
  <si>
    <r>
      <rPr>
        <color rgb="FF1155CC"/>
        <u/>
      </rPr>
      <t>raza.rao@sionow.com</t>
    </r>
  </si>
  <si>
    <t>E80CG</t>
  </si>
  <si>
    <t>World Cargo Solutions</t>
  </si>
  <si>
    <t>Jacob Mathew</t>
  </si>
  <si>
    <r>
      <rPr>
        <color rgb="FF1155CC"/>
        <u/>
      </rPr>
      <t>jacob@worldcargosolutions.us</t>
    </r>
  </si>
  <si>
    <t>NRD6D</t>
  </si>
  <si>
    <t>Value Logistics Inc</t>
  </si>
  <si>
    <t>Finn Hall</t>
  </si>
  <si>
    <r>
      <rPr>
        <color rgb="FF1155CC"/>
        <u/>
      </rPr>
      <t>finn@valueloads.com</t>
    </r>
  </si>
  <si>
    <t>F2P6Z</t>
  </si>
  <si>
    <t>Fox Logistics Solutions</t>
  </si>
  <si>
    <t>Joe Schawiosi</t>
  </si>
  <si>
    <r>
      <rPr>
        <color rgb="FF1155CC"/>
        <u/>
      </rPr>
      <t>joe@foxlogistics.us</t>
    </r>
  </si>
  <si>
    <t>8Z6Y5</t>
  </si>
  <si>
    <t>Indianapolis, IN</t>
  </si>
  <si>
    <t>US Contracting Services</t>
  </si>
  <si>
    <r>
      <rPr>
        <color rgb="FF1155CC"/>
        <u/>
      </rPr>
      <t>danny@vineyardbrokerage.com</t>
    </r>
  </si>
  <si>
    <t>KTD2C</t>
  </si>
  <si>
    <t>Esse Brokerage</t>
  </si>
  <si>
    <t>Eugeny Skovorodko</t>
  </si>
  <si>
    <r>
      <rPr>
        <color rgb="FF1155CC"/>
        <u/>
      </rPr>
      <t>ussm@essebrokerage.com</t>
    </r>
  </si>
  <si>
    <t>3AP30</t>
  </si>
  <si>
    <t>Mooresville, NC</t>
  </si>
  <si>
    <t>RPP Express</t>
  </si>
  <si>
    <t>Patrick Svirupa</t>
  </si>
  <si>
    <r>
      <rPr>
        <color rgb="FF1155CC"/>
        <u/>
      </rPr>
      <t>patrick@rppexpress.com</t>
    </r>
  </si>
  <si>
    <t>8IQ5F</t>
  </si>
  <si>
    <t>Sona Shipping &amp; Logistics</t>
  </si>
  <si>
    <t>Pino Ude</t>
  </si>
  <si>
    <r>
      <rPr>
        <color rgb="FF1155CC"/>
        <u/>
      </rPr>
      <t>pino.ude@sonashipping.com</t>
    </r>
  </si>
  <si>
    <t>5PQDL</t>
  </si>
  <si>
    <t>Oclaf Inc</t>
  </si>
  <si>
    <t>Lilian Falco</t>
  </si>
  <si>
    <r>
      <rPr>
        <color rgb="FF1155CC"/>
        <u/>
      </rPr>
      <t>lilian@oclacargo.com</t>
    </r>
  </si>
  <si>
    <t>MRTXI</t>
  </si>
  <si>
    <t>FFS Logistics, Inc.</t>
  </si>
  <si>
    <t>Nick Popovich</t>
  </si>
  <si>
    <r>
      <rPr>
        <color rgb="FF1155CC"/>
        <u/>
      </rPr>
      <t>nick@ffs-logistics.com</t>
    </r>
  </si>
  <si>
    <t>PDAE9</t>
  </si>
  <si>
    <t>Kim Line Inc</t>
  </si>
  <si>
    <t>Peter Randls</t>
  </si>
  <si>
    <r>
      <rPr>
        <color rgb="FF1155CC"/>
        <u/>
      </rPr>
      <t>peter.randls@klmline.us</t>
    </r>
  </si>
  <si>
    <t>5EF4I</t>
  </si>
  <si>
    <t>Aeropro USA Cargo</t>
  </si>
  <si>
    <t>Edgar Diaz</t>
  </si>
  <si>
    <r>
      <rPr>
        <color rgb="FF1155CC"/>
        <u/>
      </rPr>
      <t>edgar.diaz@aeroproto.com</t>
    </r>
  </si>
  <si>
    <t>Air, FTL</t>
  </si>
  <si>
    <t>XSNM3</t>
  </si>
  <si>
    <t>Cheyenne, WY</t>
  </si>
  <si>
    <t>Solution Logistics LLC</t>
  </si>
  <si>
    <t>Dmitriy Bovdy</t>
  </si>
  <si>
    <r>
      <rPr>
        <color rgb="FF1155CC"/>
        <u/>
      </rPr>
      <t>support@solutionlogistics.net</t>
    </r>
  </si>
  <si>
    <t>FCL, LCL, FTL</t>
  </si>
  <si>
    <t>D5D3X</t>
  </si>
  <si>
    <t>Randolph, MA</t>
  </si>
  <si>
    <t>Unitrans Worldwide</t>
  </si>
  <si>
    <t>Lindsay Barich</t>
  </si>
  <si>
    <r>
      <rPr>
        <color rgb="FF1155CC"/>
        <u/>
      </rPr>
      <t>lindsay@uwinc.com</t>
    </r>
  </si>
  <si>
    <t>R2CMO</t>
  </si>
  <si>
    <t>Hermes International Freight</t>
  </si>
  <si>
    <t>Dmitriy Palimov</t>
  </si>
  <si>
    <t>dpalimovd@germes‑ltd.com</t>
  </si>
  <si>
    <t>HHP11</t>
  </si>
  <si>
    <t>Amazon Logistics</t>
  </si>
  <si>
    <t>Jake Kiss</t>
  </si>
  <si>
    <r>
      <rPr>
        <color rgb="FF1155CC"/>
        <u/>
      </rPr>
      <t>jake.kiss@amazon.com</t>
    </r>
  </si>
  <si>
    <t>0C13A</t>
  </si>
  <si>
    <t>Charlotte, NC</t>
  </si>
  <si>
    <t>Solvent Logistics Inc</t>
  </si>
  <si>
    <t>Kesha Harris</t>
  </si>
  <si>
    <r>
      <rPr>
        <color rgb="FF1155CC"/>
        <u/>
      </rPr>
      <t>dispatch@solventlogistics.com</t>
    </r>
  </si>
  <si>
    <t>T99XB</t>
  </si>
  <si>
    <t>Supreme International</t>
  </si>
  <si>
    <t>Olugbenga Ogunleye</t>
  </si>
  <si>
    <r>
      <rPr>
        <color rgb="FF1155CC"/>
        <u/>
      </rPr>
      <t>olugbenga.o@supremeinternational.com</t>
    </r>
  </si>
  <si>
    <t>F628W</t>
  </si>
  <si>
    <t>Dimerc Express Services</t>
  </si>
  <si>
    <t>Roy Chen</t>
  </si>
  <si>
    <r>
      <rPr>
        <color rgb="FF1155CC"/>
        <u/>
      </rPr>
      <t>roy.chen@dimerc.com</t>
    </r>
  </si>
  <si>
    <t>CQER3</t>
  </si>
  <si>
    <t>World Wide Central Freight</t>
  </si>
  <si>
    <t>Miguel Moreno</t>
  </si>
  <si>
    <r>
      <rPr>
        <color rgb="FF1155CC"/>
        <u/>
      </rPr>
      <t>mike@worldwidecentralfreight.com</t>
    </r>
  </si>
  <si>
    <t>KYLN5</t>
  </si>
  <si>
    <t>La Porte, TX</t>
  </si>
  <si>
    <t>OSTT Brokerage LLC</t>
  </si>
  <si>
    <t>Darshan Patel</t>
  </si>
  <si>
    <r>
      <rPr>
        <color rgb="FF1155CC"/>
        <u/>
      </rPr>
      <t>logistics.usa@osttbrokerage.com</t>
    </r>
  </si>
  <si>
    <t>D8G35</t>
  </si>
  <si>
    <t>Abd Logistics Group</t>
  </si>
  <si>
    <t>Carlos Gonzalez</t>
  </si>
  <si>
    <r>
      <rPr>
        <color rgb="FF1155CC"/>
        <u/>
      </rPr>
      <t>carlos.gonzalez@abdlogisticsgroup.com</t>
    </r>
  </si>
  <si>
    <t>1575O</t>
  </si>
  <si>
    <t>Torrance, CA</t>
  </si>
  <si>
    <t>JK Freight Logistics</t>
  </si>
  <si>
    <t>Joon Kim</t>
  </si>
  <si>
    <t>joon.kim@jk‑freight.com</t>
  </si>
  <si>
    <t>T3XEV</t>
  </si>
  <si>
    <t>Dubuque, IA</t>
  </si>
  <si>
    <t>Delta Logistics Inc</t>
  </si>
  <si>
    <t>Zoey Martin</t>
  </si>
  <si>
    <r>
      <rPr>
        <color rgb="FF1155CC"/>
        <u/>
      </rPr>
      <t>zoey.martin@deltalogisticsinc.com</t>
    </r>
  </si>
  <si>
    <t>2LRG1</t>
  </si>
  <si>
    <t>Santa Teresa, NM</t>
  </si>
  <si>
    <t>J.H. Rose Logistics</t>
  </si>
  <si>
    <t>Marco Estrada</t>
  </si>
  <si>
    <r>
      <rPr>
        <color rgb="FF1155CC"/>
        <u/>
      </rPr>
      <t>marco.estrada@jhrose.com</t>
    </r>
  </si>
  <si>
    <t>X4ZMN</t>
  </si>
  <si>
    <t>Truck Runner LLC</t>
  </si>
  <si>
    <t>Paul Mathews</t>
  </si>
  <si>
    <r>
      <rPr>
        <color rgb="FF1155CC"/>
        <u/>
      </rPr>
      <t>paul.mathews@truckrunner.org</t>
    </r>
  </si>
  <si>
    <t>EPW7P</t>
  </si>
  <si>
    <t>United Shipping &amp; Air</t>
  </si>
  <si>
    <t>Mohammad Hassan</t>
  </si>
  <si>
    <r>
      <rPr>
        <color rgb="FF1155CC"/>
        <u/>
      </rPr>
      <t>mhassan@uslas.com</t>
    </r>
  </si>
  <si>
    <t>AEW93</t>
  </si>
  <si>
    <t>Global Forwarding</t>
  </si>
  <si>
    <t>Marc Vazquez</t>
  </si>
  <si>
    <r>
      <rPr>
        <color rgb="FF1155CC"/>
        <u/>
      </rPr>
      <t>marc.vazquez@globalforwarding.com</t>
    </r>
  </si>
  <si>
    <t>V3XBDW</t>
  </si>
  <si>
    <t>Modesto, CA</t>
  </si>
  <si>
    <t>Vertiv Logistics Corp</t>
  </si>
  <si>
    <t>Robyn Gray</t>
  </si>
  <si>
    <r>
      <rPr>
        <color rgb="FF1155CC"/>
        <u/>
      </rPr>
      <t>robyn@vertivlogisticscorp.com</t>
    </r>
  </si>
  <si>
    <t>UNKI1</t>
  </si>
  <si>
    <t>Rodd Logistics LLC</t>
  </si>
  <si>
    <t>Tiffany Foster</t>
  </si>
  <si>
    <r>
      <rPr>
        <color rgb="FF1155CC"/>
        <u/>
      </rPr>
      <t>tfoster@roddlogisticsllc.com</t>
    </r>
  </si>
  <si>
    <t>O5FQ2</t>
  </si>
  <si>
    <t>Pomona, CA</t>
  </si>
  <si>
    <t>Avail Logistics</t>
  </si>
  <si>
    <t>Estefany Mejia</t>
  </si>
  <si>
    <r>
      <rPr>
        <color rgb="FF1155CC"/>
        <u/>
      </rPr>
      <t>estefanymejia@availlogistics.us</t>
    </r>
  </si>
  <si>
    <t>2PI4T</t>
  </si>
  <si>
    <t>Philadelphia, PA</t>
  </si>
  <si>
    <t>Paramount Enterprises Int’l</t>
  </si>
  <si>
    <t>Dan Mahon</t>
  </si>
  <si>
    <r>
      <rPr>
        <color rgb="FF1155CC"/>
        <u/>
      </rPr>
      <t>dmahon@peiship.com</t>
    </r>
  </si>
  <si>
    <t>FCL, LCL, FTL, LTL, Air, Project cargoes, Bulk, Rail, Customs clearance</t>
  </si>
  <si>
    <t>RQ2AI</t>
  </si>
  <si>
    <t>Northeast Texas</t>
  </si>
  <si>
    <t>MB Freight Solutions</t>
  </si>
  <si>
    <t>Troy Mckinnies</t>
  </si>
  <si>
    <r>
      <rPr>
        <color rgb="FF1155CC"/>
        <u/>
      </rPr>
      <t>troym@mbfreightsolutions.net</t>
    </r>
  </si>
  <si>
    <t>LTL, FTL, Bulk, FCL, LCL</t>
  </si>
  <si>
    <t>7F4EJ</t>
  </si>
  <si>
    <t>Tower Transition Logistics Int’l Inc</t>
  </si>
  <si>
    <t>Amaziah Yahalom</t>
  </si>
  <si>
    <r>
      <rPr>
        <color rgb="FF1155CC"/>
        <u/>
      </rPr>
      <t>amaziahy@towertransition.com</t>
    </r>
  </si>
  <si>
    <t>FCL, LCL, Bulk, FTL, LTL, Rail, Customs clearance, RoRo</t>
  </si>
  <si>
    <t>ITCZY</t>
  </si>
  <si>
    <t>Lotra Logistics LLC</t>
  </si>
  <si>
    <t>Vitalii Devysh</t>
  </si>
  <si>
    <r>
      <rPr>
        <color rgb="FF1155CC"/>
        <u/>
      </rPr>
      <t>vitalii.dev@lotralogistics.com</t>
    </r>
  </si>
  <si>
    <t>7Y29V</t>
  </si>
  <si>
    <t>United American Line Inc</t>
  </si>
  <si>
    <t>Musa Tahir</t>
  </si>
  <si>
    <r>
      <rPr>
        <color rgb="FF1155CC"/>
        <u/>
      </rPr>
      <t>usa@unitedamericanline.com</t>
    </r>
  </si>
  <si>
    <t>LCL, FCL</t>
  </si>
  <si>
    <t>249VT</t>
  </si>
  <si>
    <t>I‑Ships International</t>
  </si>
  <si>
    <t>Mia Lord</t>
  </si>
  <si>
    <r>
      <rPr>
        <color rgb="FF1155CC"/>
        <u/>
      </rPr>
      <t>mia.lord@ishipsinternational.com</t>
    </r>
  </si>
  <si>
    <t>FCL, Bulk</t>
  </si>
  <si>
    <t>PWSFQ</t>
  </si>
  <si>
    <t>Monroe, LA</t>
  </si>
  <si>
    <t>Simple</t>
  </si>
  <si>
    <t>Abe Orgel</t>
  </si>
  <si>
    <r>
      <rPr>
        <color rgb="FF1155CC"/>
        <u/>
      </rPr>
      <t>abe@simpleforwarding.com</t>
    </r>
  </si>
  <si>
    <t>09R2N</t>
  </si>
  <si>
    <t>FrancoShipping Group</t>
  </si>
  <si>
    <t>Ricardo Franco</t>
  </si>
  <si>
    <r>
      <rPr>
        <color rgb="FF1155CC"/>
        <u/>
      </rPr>
      <t>ricardo.franco@francoshipping.com</t>
    </r>
  </si>
  <si>
    <t>9I0IA</t>
  </si>
  <si>
    <t>Walnut, CA</t>
  </si>
  <si>
    <t>Falcon Logistics GL</t>
  </si>
  <si>
    <t>Kevin Chu</t>
  </si>
  <si>
    <t>contact@falconlog‑lax.com</t>
  </si>
  <si>
    <t>2W3H6</t>
  </si>
  <si>
    <t>Cargo Ex</t>
  </si>
  <si>
    <t>Roman Kelly</t>
  </si>
  <si>
    <r>
      <rPr>
        <color rgb="FF1155CC"/>
        <u/>
      </rPr>
      <t>roman.kelly@cargoex.us</t>
    </r>
  </si>
  <si>
    <t>5W62J</t>
  </si>
  <si>
    <t>FHL Logistics</t>
  </si>
  <si>
    <t>Ron Sonbeek</t>
  </si>
  <si>
    <r>
      <rPr>
        <color rgb="FF1155CC"/>
        <u/>
      </rPr>
      <t>ron@fhllogistics.com</t>
    </r>
  </si>
  <si>
    <t>LFH91</t>
  </si>
  <si>
    <t>New Wave International</t>
  </si>
  <si>
    <t>Ziggy Krzysciak</t>
  </si>
  <si>
    <r>
      <rPr>
        <color rgb="FF1155CC"/>
        <u/>
      </rPr>
      <t>ziggy.krzysciak@newwavevic.com</t>
    </r>
  </si>
  <si>
    <t>ERHFX</t>
  </si>
  <si>
    <t>Concepts in Freight (CIF Global)</t>
  </si>
  <si>
    <t>Georges Saba</t>
  </si>
  <si>
    <r>
      <rPr>
        <color rgb="FF1155CC"/>
        <u/>
      </rPr>
      <t>gsaba@cifglobal.com</t>
    </r>
  </si>
  <si>
    <t>HNZ7A</t>
  </si>
  <si>
    <t>Laredo, TX</t>
  </si>
  <si>
    <t>SCS Brokers</t>
  </si>
  <si>
    <t>Luis Gonzalez</t>
  </si>
  <si>
    <r>
      <rPr>
        <color rgb="FF1155CC"/>
        <u/>
      </rPr>
      <t>luis@sccsbrokers.com</t>
    </r>
  </si>
  <si>
    <t>Customs brokerage</t>
  </si>
  <si>
    <t>PFDE2</t>
  </si>
  <si>
    <t>DOF Cargo Inc</t>
  </si>
  <si>
    <t>Rafael Garcia</t>
  </si>
  <si>
    <r>
      <rPr>
        <color rgb="FF1155CC"/>
        <u/>
      </rPr>
      <t>contacto@dofexpress.com</t>
    </r>
  </si>
  <si>
    <t>55TJZ</t>
  </si>
  <si>
    <t>ARI Shipping Corp</t>
  </si>
  <si>
    <t>Sean Warwick</t>
  </si>
  <si>
    <r>
      <rPr>
        <color rgb="FF1155CC"/>
        <u/>
      </rPr>
      <t>sean@arishipping.com</t>
    </r>
  </si>
  <si>
    <t>W90PR</t>
  </si>
  <si>
    <t>Seven Seas Shipping Co.</t>
  </si>
  <si>
    <t>Hansel Sousa</t>
  </si>
  <si>
    <r>
      <rPr>
        <color rgb="FF1155CC"/>
        <u/>
      </rPr>
      <t>hansel.sousa@sssusainc.com</t>
    </r>
  </si>
  <si>
    <t>0125J</t>
  </si>
  <si>
    <t>HR Freightway Inc</t>
  </si>
  <si>
    <t>Jakob White</t>
  </si>
  <si>
    <r>
      <rPr>
        <color rgb="FF1155CC"/>
        <u/>
      </rPr>
      <t>jakob@hrfreightway.com</t>
    </r>
  </si>
  <si>
    <t>FTL, FCL</t>
  </si>
  <si>
    <t>1CQYG</t>
  </si>
  <si>
    <t>Platon Inc</t>
  </si>
  <si>
    <t>Max Kershniht</t>
  </si>
  <si>
    <r>
      <rPr>
        <color rgb="FF1155CC"/>
        <u/>
      </rPr>
      <t>max.kershniht@plattons.com</t>
    </r>
  </si>
  <si>
    <t>2NB3R</t>
  </si>
  <si>
    <t>RG Logistics Ltd</t>
  </si>
  <si>
    <t>Roy Ghildrary</t>
  </si>
  <si>
    <r>
      <rPr>
        <color rgb="FF1155CC"/>
        <u/>
      </rPr>
      <t>roy@rglogistics.net</t>
    </r>
  </si>
  <si>
    <t>5EXVX</t>
  </si>
  <si>
    <t>Mountain House, CA</t>
  </si>
  <si>
    <t>Smart Freight Solutions USA</t>
  </si>
  <si>
    <t>Jacob Coleman</t>
  </si>
  <si>
    <t>jacob@sfsolutions‑usa.com</t>
  </si>
  <si>
    <t>5IBPQ</t>
  </si>
  <si>
    <t>Continental Shipping Port</t>
  </si>
  <si>
    <t>Alvaro Arvelo</t>
  </si>
  <si>
    <r>
      <rPr>
        <color rgb="FF1155CC"/>
        <u/>
      </rPr>
      <t>alvaro.arvelo@contshipport.com</t>
    </r>
  </si>
  <si>
    <t>831N4</t>
  </si>
  <si>
    <t>Beverly Hills, CA</t>
  </si>
  <si>
    <t>Ace Logistics LLC</t>
  </si>
  <si>
    <t>Manni Singh</t>
  </si>
  <si>
    <r>
      <rPr>
        <color rgb="FF1155CC"/>
        <u/>
      </rPr>
      <t>manni@acefrebrokerage.com</t>
    </r>
  </si>
  <si>
    <t>ATPFV</t>
  </si>
  <si>
    <t>Total Logistics Freight Inc</t>
  </si>
  <si>
    <t>Rafael Morel</t>
  </si>
  <si>
    <r>
      <rPr>
        <color rgb="FF1155CC"/>
        <u/>
      </rPr>
      <t>rmorel@radardv.com</t>
    </r>
  </si>
  <si>
    <t>C04CR</t>
  </si>
  <si>
    <t>Noblesville, IN</t>
  </si>
  <si>
    <t>Global Grid Logistics</t>
  </si>
  <si>
    <t>Lian Yu</t>
  </si>
  <si>
    <r>
      <rPr>
        <color rgb="FF1155CC"/>
        <u/>
      </rPr>
      <t>lian@globalgridlogistics.com</t>
    </r>
  </si>
  <si>
    <t>CNVFQ</t>
  </si>
  <si>
    <t>San Diego, CA</t>
  </si>
  <si>
    <t>Canary Yellow Logistics</t>
  </si>
  <si>
    <t>Jesse Paul</t>
  </si>
  <si>
    <r>
      <rPr>
        <color rgb="FF1155CC"/>
        <u/>
      </rPr>
      <t>jesse@cytlcltd.com</t>
    </r>
  </si>
  <si>
    <t>D9954</t>
  </si>
  <si>
    <t>RDC Global Logistics</t>
  </si>
  <si>
    <t>Alejandro Valdez</t>
  </si>
  <si>
    <r>
      <rPr>
        <color rgb="FF1155CC"/>
        <u/>
      </rPr>
      <t>avaldez@gdcrdc.com</t>
    </r>
  </si>
  <si>
    <t>DAZG5</t>
  </si>
  <si>
    <t>Atila Solutions</t>
  </si>
  <si>
    <t>Yerfi Rodriguez</t>
  </si>
  <si>
    <r>
      <rPr>
        <color rgb="FF1155CC"/>
        <u/>
      </rPr>
      <t>yerfi.rodriguez@attilaglobal.com</t>
    </r>
  </si>
  <si>
    <t>DGOAN</t>
  </si>
  <si>
    <t>Allentown, PA</t>
  </si>
  <si>
    <t>JRA Transport LLC</t>
  </si>
  <si>
    <t>Jerome Alley</t>
  </si>
  <si>
    <r>
      <rPr>
        <color rgb="FF1155CC"/>
        <u/>
      </rPr>
      <t>jerome.alley@jratransport.net</t>
    </r>
  </si>
  <si>
    <t>DLAY9</t>
  </si>
  <si>
    <t>Little Ferry, NJ</t>
  </si>
  <si>
    <t>H&amp;H Logistic Services</t>
  </si>
  <si>
    <t>Usman Muhammad</t>
  </si>
  <si>
    <r>
      <rPr>
        <color rgb="FF1155CC"/>
        <u/>
      </rPr>
      <t>usman@hhhlogisticservicesco.com</t>
    </r>
  </si>
  <si>
    <t>LCL, LTL</t>
  </si>
  <si>
    <t>DV9I3</t>
  </si>
  <si>
    <t>Carteret, NJ</t>
  </si>
  <si>
    <t>Square Logistic Solutions</t>
  </si>
  <si>
    <t>Shane Clark</t>
  </si>
  <si>
    <r>
      <rPr>
        <color rgb="FF1155CC"/>
        <u/>
      </rPr>
      <t>shane@squarelogisticsolutions.com</t>
    </r>
  </si>
  <si>
    <t>FTL</t>
  </si>
  <si>
    <t>G012F</t>
  </si>
  <si>
    <t>Saint Petersburg, FL</t>
  </si>
  <si>
    <t>LOGISTIMANIA International</t>
  </si>
  <si>
    <t>Alaa Ghatashneh</t>
  </si>
  <si>
    <r>
      <rPr>
        <color rgb="FF1155CC"/>
        <u/>
      </rPr>
      <t>alaa@logistimania.com</t>
    </r>
  </si>
  <si>
    <t>G86AD</t>
  </si>
  <si>
    <t>Mia Logistics Solutions Inc</t>
  </si>
  <si>
    <t>Marilena Pertuz</t>
  </si>
  <si>
    <r>
      <rPr>
        <color rgb="FF1155CC"/>
        <u/>
      </rPr>
      <t>operations@mialogistics.com</t>
    </r>
  </si>
  <si>
    <t>GRED4</t>
  </si>
  <si>
    <t>Sylmar, CA</t>
  </si>
  <si>
    <t>Ship Secure Inc</t>
  </si>
  <si>
    <t>Nathan Paul</t>
  </si>
  <si>
    <r>
      <rPr>
        <color rgb="FF1155CC"/>
        <u/>
      </rPr>
      <t>nathan@shipsecureinc.com</t>
    </r>
  </si>
  <si>
    <t>IPKQ7</t>
  </si>
  <si>
    <t>Joplin, MO</t>
  </si>
  <si>
    <t>Daylord Xpress Logistics</t>
  </si>
  <si>
    <t>Sam Brown</t>
  </si>
  <si>
    <r>
      <rPr>
        <color rgb="FF1155CC"/>
        <u/>
      </rPr>
      <t>sam.b@daylordxpress.net</t>
    </r>
  </si>
  <si>
    <t>JZ019</t>
  </si>
  <si>
    <t>Warner Robins, GA</t>
  </si>
  <si>
    <t>3 Ts Car Connect LLC</t>
  </si>
  <si>
    <t>Terence Pettigrew</t>
  </si>
  <si>
    <r>
      <rPr>
        <color rgb="FF1155CC"/>
        <u/>
      </rPr>
      <t>ceo@3tsconnect.com</t>
    </r>
  </si>
  <si>
    <t>Bulk, LTL</t>
  </si>
  <si>
    <t>K8ZTY</t>
  </si>
  <si>
    <t>Dublin, OH</t>
  </si>
  <si>
    <t>Kings Team Logistics</t>
  </si>
  <si>
    <t>Alex Martin</t>
  </si>
  <si>
    <r>
      <rPr>
        <color rgb="FF1155CC"/>
        <u/>
      </rPr>
      <t>alex.martin@kingsteamlogistics.com</t>
    </r>
  </si>
  <si>
    <t>G8UCY</t>
  </si>
  <si>
    <t>World Pac Logistics</t>
  </si>
  <si>
    <t>Victoria Sostre</t>
  </si>
  <si>
    <r>
      <rPr>
        <color rgb="FF1155CC"/>
        <u/>
      </rPr>
      <t>vsostre@worldpaclogistics.com</t>
    </r>
  </si>
  <si>
    <t>FCL, Breakbulk</t>
  </si>
  <si>
    <t>LV2D4</t>
  </si>
  <si>
    <t>Oglesby, IL</t>
  </si>
  <si>
    <t>Teal</t>
  </si>
  <si>
    <t>Sahal Sajid</t>
  </si>
  <si>
    <r>
      <rPr>
        <color rgb="FF1155CC"/>
        <u/>
      </rPr>
      <t>sahal@tealpackaging.com</t>
    </r>
  </si>
  <si>
    <t>Air, Customs clearance</t>
  </si>
  <si>
    <t>MVOV0</t>
  </si>
  <si>
    <t>Fort Lauderdale, FL</t>
  </si>
  <si>
    <t>Inter Ocean Container Lines</t>
  </si>
  <si>
    <t>Rafael Santos</t>
  </si>
  <si>
    <r>
      <rPr>
        <color rgb="FF1155CC"/>
        <u/>
      </rPr>
      <t>rafael@interoceancontainer.com</t>
    </r>
  </si>
  <si>
    <t>NL1FM</t>
  </si>
  <si>
    <t>Rise Logistics Corp</t>
  </si>
  <si>
    <t>Arshad Raza</t>
  </si>
  <si>
    <r>
      <rPr>
        <color rgb="FF1155CC"/>
        <u/>
      </rPr>
      <t>araza@rlships.com</t>
    </r>
  </si>
  <si>
    <t>PN7ZB</t>
  </si>
  <si>
    <t>Pmax Global</t>
  </si>
  <si>
    <t>Evandro Costa</t>
  </si>
  <si>
    <r>
      <rPr>
        <color rgb="FF1155CC"/>
        <u/>
      </rPr>
      <t>evandro@pmaxcorp.com</t>
    </r>
  </si>
  <si>
    <t>FCL, LTL</t>
  </si>
  <si>
    <t>QSZ9W</t>
  </si>
  <si>
    <t>Naperville, IL</t>
  </si>
  <si>
    <t>PRIME Global Logistics</t>
  </si>
  <si>
    <t>Ramzey Dana</t>
  </si>
  <si>
    <r>
      <rPr>
        <color rgb="FF1155CC"/>
        <u/>
      </rPr>
      <t>ramzey@primegloballogistics.com</t>
    </r>
  </si>
  <si>
    <t>RNWXK</t>
  </si>
  <si>
    <t>Michigan</t>
  </si>
  <si>
    <t>Amb Logistic</t>
  </si>
  <si>
    <t>Shane Watson</t>
  </si>
  <si>
    <r>
      <rPr>
        <color rgb="FF1155CC"/>
        <u/>
      </rPr>
      <t>shane.watson@amblogistics.us</t>
    </r>
  </si>
  <si>
    <t>RP5ZB</t>
  </si>
  <si>
    <t>Huntington Beach, CA</t>
  </si>
  <si>
    <t>InterLogic Inc</t>
  </si>
  <si>
    <t>Ivan Gerdzhikov</t>
  </si>
  <si>
    <r>
      <rPr>
        <color rgb="FF1155CC"/>
        <u/>
      </rPr>
      <t>ivan.gerdzhik@interlogicinc.com</t>
    </r>
  </si>
  <si>
    <t>RX0L6</t>
  </si>
  <si>
    <t>Pembroke Pines, FL</t>
  </si>
  <si>
    <t>Markhor Strategies</t>
  </si>
  <si>
    <t>Mustajab Ahmad</t>
  </si>
  <si>
    <r>
      <rPr>
        <color rgb="FF1155CC"/>
        <u/>
      </rPr>
      <t>mustajab@markhorstrategies.com</t>
    </r>
  </si>
  <si>
    <t>SDNKR</t>
  </si>
  <si>
    <t>Moved by Love Transport</t>
  </si>
  <si>
    <t>Cedric Hornbuckle</t>
  </si>
  <si>
    <r>
      <rPr>
        <color rgb="FF1155CC"/>
        <u/>
      </rPr>
      <t>transport@movedby.love</t>
    </r>
  </si>
  <si>
    <t>TLV0I</t>
  </si>
  <si>
    <t>Plano, TX</t>
  </si>
  <si>
    <t>MoveEra LLC</t>
  </si>
  <si>
    <t>Izhar Hussain</t>
  </si>
  <si>
    <r>
      <rPr>
        <color rgb="FF1155CC"/>
        <u/>
      </rPr>
      <t>izhar.hussain@moveeralogistics.com</t>
    </r>
  </si>
  <si>
    <t>URBEM</t>
  </si>
  <si>
    <t>BIG BIRD Inc</t>
  </si>
  <si>
    <t>Chris Brown</t>
  </si>
  <si>
    <r>
      <rPr>
        <color rgb="FF1155CC"/>
        <u/>
      </rPr>
      <t>chris.b@bigbirdinc.co</t>
    </r>
  </si>
  <si>
    <t>XZ73D</t>
  </si>
  <si>
    <t>Grace Freight Inc</t>
  </si>
  <si>
    <t>Dev Imanuel</t>
  </si>
  <si>
    <r>
      <rPr>
        <color rgb="FF1155CC"/>
        <u/>
      </rPr>
      <t>dev.imanuel@gracefreightinc.com</t>
    </r>
  </si>
  <si>
    <t>YN3VB</t>
  </si>
  <si>
    <t>Fratogo Worldwide</t>
  </si>
  <si>
    <t>Dan Ekberg</t>
  </si>
  <si>
    <r>
      <rPr>
        <color rgb="FF1155CC"/>
        <u/>
      </rPr>
      <t>dan.ekberg@fratogo.com</t>
    </r>
  </si>
  <si>
    <t>ZRDVL</t>
  </si>
  <si>
    <t>Kopf Logistics Group</t>
  </si>
  <si>
    <t>Adam Williams</t>
  </si>
  <si>
    <r>
      <rPr>
        <color rgb="FF1155CC"/>
        <u/>
      </rPr>
      <t>adam.williams@kopflogisticsgroup.com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</si>
</sst>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mer@clearfreight.com" TargetMode="External"/><Relationship Id="rId190" Type="http://schemas.openxmlformats.org/officeDocument/2006/relationships/hyperlink" Target="mailto:contacto@dofexpress.com" TargetMode="External"/><Relationship Id="rId42" Type="http://schemas.openxmlformats.org/officeDocument/2006/relationships/hyperlink" Target="mailto:dlane@targettrans.com" TargetMode="External"/><Relationship Id="rId41" Type="http://schemas.openxmlformats.org/officeDocument/2006/relationships/hyperlink" Target="mailto:max@deviselogistics.com" TargetMode="External"/><Relationship Id="rId44" Type="http://schemas.openxmlformats.org/officeDocument/2006/relationships/hyperlink" Target="mailto:anita.singh@psfreight.com" TargetMode="External"/><Relationship Id="rId194" Type="http://schemas.openxmlformats.org/officeDocument/2006/relationships/hyperlink" Target="mailto:max.kershniht@plattons.com" TargetMode="External"/><Relationship Id="rId43" Type="http://schemas.openxmlformats.org/officeDocument/2006/relationships/hyperlink" Target="mailto:henry.brown@trinitylogistics.com" TargetMode="External"/><Relationship Id="rId193" Type="http://schemas.openxmlformats.org/officeDocument/2006/relationships/hyperlink" Target="mailto:jakob@hrfreightway.com" TargetMode="External"/><Relationship Id="rId46" Type="http://schemas.openxmlformats.org/officeDocument/2006/relationships/hyperlink" Target="mailto:mtaylor@tyrlogistics.com" TargetMode="External"/><Relationship Id="rId192" Type="http://schemas.openxmlformats.org/officeDocument/2006/relationships/hyperlink" Target="mailto:hansel.sousa@sssusainc.com" TargetMode="External"/><Relationship Id="rId45" Type="http://schemas.openxmlformats.org/officeDocument/2006/relationships/hyperlink" Target="mailto:tina@gclogisticsinc.com" TargetMode="External"/><Relationship Id="rId191" Type="http://schemas.openxmlformats.org/officeDocument/2006/relationships/hyperlink" Target="mailto:sean@arishipping.com" TargetMode="External"/><Relationship Id="rId48" Type="http://schemas.openxmlformats.org/officeDocument/2006/relationships/hyperlink" Target="mailto:info@onexfreight.com" TargetMode="External"/><Relationship Id="rId187" Type="http://schemas.openxmlformats.org/officeDocument/2006/relationships/hyperlink" Target="mailto:ziggy.krzysciak@newwavevic.com" TargetMode="External"/><Relationship Id="rId47" Type="http://schemas.openxmlformats.org/officeDocument/2006/relationships/hyperlink" Target="mailto:jsingh@ejqexpress.com" TargetMode="External"/><Relationship Id="rId186" Type="http://schemas.openxmlformats.org/officeDocument/2006/relationships/hyperlink" Target="mailto:ron@fhllogistics.com" TargetMode="External"/><Relationship Id="rId185" Type="http://schemas.openxmlformats.org/officeDocument/2006/relationships/hyperlink" Target="mailto:roman.kelly@cargoex.us" TargetMode="External"/><Relationship Id="rId49" Type="http://schemas.openxmlformats.org/officeDocument/2006/relationships/hyperlink" Target="mailto:leslie@txglobalsvs.com" TargetMode="External"/><Relationship Id="rId184" Type="http://schemas.openxmlformats.org/officeDocument/2006/relationships/hyperlink" Target="mailto:ricardo.franco@francoshipping.com" TargetMode="External"/><Relationship Id="rId189" Type="http://schemas.openxmlformats.org/officeDocument/2006/relationships/hyperlink" Target="mailto:luis@sccsbrokers.com" TargetMode="External"/><Relationship Id="rId188" Type="http://schemas.openxmlformats.org/officeDocument/2006/relationships/hyperlink" Target="mailto:gsaba@cifglobal.com" TargetMode="External"/><Relationship Id="rId31" Type="http://schemas.openxmlformats.org/officeDocument/2006/relationships/hyperlink" Target="mailto:edward.clark@a1logistics.us" TargetMode="External"/><Relationship Id="rId30" Type="http://schemas.openxmlformats.org/officeDocument/2006/relationships/hyperlink" Target="mailto:ayesha.mirza@globellc.us" TargetMode="External"/><Relationship Id="rId33" Type="http://schemas.openxmlformats.org/officeDocument/2006/relationships/hyperlink" Target="mailto:andrew@shipwithblue.com" TargetMode="External"/><Relationship Id="rId183" Type="http://schemas.openxmlformats.org/officeDocument/2006/relationships/hyperlink" Target="mailto:abe@simpleforwarding.com" TargetMode="External"/><Relationship Id="rId32" Type="http://schemas.openxmlformats.org/officeDocument/2006/relationships/hyperlink" Target="mailto:prince.boadi@ntgfreight.com" TargetMode="External"/><Relationship Id="rId182" Type="http://schemas.openxmlformats.org/officeDocument/2006/relationships/hyperlink" Target="mailto:mia.lord@ishipsinternational.com" TargetMode="External"/><Relationship Id="rId35" Type="http://schemas.openxmlformats.org/officeDocument/2006/relationships/hyperlink" Target="mailto:amit@transship.net" TargetMode="External"/><Relationship Id="rId181" Type="http://schemas.openxmlformats.org/officeDocument/2006/relationships/hyperlink" Target="mailto:usa@unitedamericanline.com" TargetMode="External"/><Relationship Id="rId34" Type="http://schemas.openxmlformats.org/officeDocument/2006/relationships/hyperlink" Target="mailto:chris-fb@fctsol.com" TargetMode="External"/><Relationship Id="rId180" Type="http://schemas.openxmlformats.org/officeDocument/2006/relationships/hyperlink" Target="mailto:vitalii.dev@lotralogistics.com" TargetMode="External"/><Relationship Id="rId37" Type="http://schemas.openxmlformats.org/officeDocument/2006/relationships/hyperlink" Target="mailto:awab@eleevatelogistics.com" TargetMode="External"/><Relationship Id="rId176" Type="http://schemas.openxmlformats.org/officeDocument/2006/relationships/hyperlink" Target="mailto:estefanymejia@availlogistics.us" TargetMode="External"/><Relationship Id="rId36" Type="http://schemas.openxmlformats.org/officeDocument/2006/relationships/hyperlink" Target="mailto:ryan.ahangi@unishippers.com" TargetMode="External"/><Relationship Id="rId175" Type="http://schemas.openxmlformats.org/officeDocument/2006/relationships/hyperlink" Target="mailto:tfoster@roddlogisticsllc.com" TargetMode="External"/><Relationship Id="rId39" Type="http://schemas.openxmlformats.org/officeDocument/2006/relationships/hyperlink" Target="mailto:sales@bbscbinc.com" TargetMode="External"/><Relationship Id="rId174" Type="http://schemas.openxmlformats.org/officeDocument/2006/relationships/hyperlink" Target="mailto:robyn@vertivlogisticscorp.com" TargetMode="External"/><Relationship Id="rId38" Type="http://schemas.openxmlformats.org/officeDocument/2006/relationships/hyperlink" Target="mailto:shane.w@freshxpress.co" TargetMode="External"/><Relationship Id="rId173" Type="http://schemas.openxmlformats.org/officeDocument/2006/relationships/hyperlink" Target="mailto:marc.vazquez@globalforwarding.com" TargetMode="External"/><Relationship Id="rId179" Type="http://schemas.openxmlformats.org/officeDocument/2006/relationships/hyperlink" Target="mailto:amaziahy@towertransition.com" TargetMode="External"/><Relationship Id="rId178" Type="http://schemas.openxmlformats.org/officeDocument/2006/relationships/hyperlink" Target="mailto:troym@mbfreightsolutions.net" TargetMode="External"/><Relationship Id="rId177" Type="http://schemas.openxmlformats.org/officeDocument/2006/relationships/hyperlink" Target="mailto:dmahon@peiship.com" TargetMode="External"/><Relationship Id="rId20" Type="http://schemas.openxmlformats.org/officeDocument/2006/relationships/hyperlink" Target="mailto:paula@exfreight.com" TargetMode="External"/><Relationship Id="rId22" Type="http://schemas.openxmlformats.org/officeDocument/2006/relationships/hyperlink" Target="mailto:wholesale@leodistro.com" TargetMode="External"/><Relationship Id="rId21" Type="http://schemas.openxmlformats.org/officeDocument/2006/relationships/hyperlink" Target="mailto:bookings@vectorgl.com" TargetMode="External"/><Relationship Id="rId24" Type="http://schemas.openxmlformats.org/officeDocument/2006/relationships/hyperlink" Target="mailto:joe.j@utulogistics.com" TargetMode="External"/><Relationship Id="rId23" Type="http://schemas.openxmlformats.org/officeDocument/2006/relationships/hyperlink" Target="mailto:andy.smith@shinelogisticsllc.com" TargetMode="External"/><Relationship Id="rId26" Type="http://schemas.openxmlformats.org/officeDocument/2006/relationships/hyperlink" Target="mailto:sales@realstartrucking.com" TargetMode="External"/><Relationship Id="rId25" Type="http://schemas.openxmlformats.org/officeDocument/2006/relationships/hyperlink" Target="mailto:nathan@boundlogistics.com" TargetMode="External"/><Relationship Id="rId28" Type="http://schemas.openxmlformats.org/officeDocument/2006/relationships/hyperlink" Target="mailto:air@onlyfreightlogistics.com" TargetMode="External"/><Relationship Id="rId27" Type="http://schemas.openxmlformats.org/officeDocument/2006/relationships/hyperlink" Target="mailto:usa-opt@alliedxl.com" TargetMode="External"/><Relationship Id="rId29" Type="http://schemas.openxmlformats.org/officeDocument/2006/relationships/hyperlink" Target="mailto:sam@groundhubtrans.com" TargetMode="External"/><Relationship Id="rId11" Type="http://schemas.openxmlformats.org/officeDocument/2006/relationships/hyperlink" Target="mailto:info@quick-ex.net" TargetMode="External"/><Relationship Id="rId10" Type="http://schemas.openxmlformats.org/officeDocument/2006/relationships/hyperlink" Target="mailto:jpdematteis@sea-side.us" TargetMode="External"/><Relationship Id="rId13" Type="http://schemas.openxmlformats.org/officeDocument/2006/relationships/hyperlink" Target="mailto:dfamiausa@knalogistics.com" TargetMode="External"/><Relationship Id="rId12" Type="http://schemas.openxmlformats.org/officeDocument/2006/relationships/hyperlink" Target="mailto:info@bayshorelogistics.com" TargetMode="External"/><Relationship Id="rId15" Type="http://schemas.openxmlformats.org/officeDocument/2006/relationships/hyperlink" Target="mailto:david.tsai@lax.aftyusa.com" TargetMode="External"/><Relationship Id="rId198" Type="http://schemas.openxmlformats.org/officeDocument/2006/relationships/hyperlink" Target="mailto:rmorel@radardv.com" TargetMode="External"/><Relationship Id="rId14" Type="http://schemas.openxmlformats.org/officeDocument/2006/relationships/hyperlink" Target="mailto:americas@cargomondo.com" TargetMode="External"/><Relationship Id="rId197" Type="http://schemas.openxmlformats.org/officeDocument/2006/relationships/hyperlink" Target="mailto:manni@acefrebrokerage.com" TargetMode="External"/><Relationship Id="rId17" Type="http://schemas.openxmlformats.org/officeDocument/2006/relationships/hyperlink" Target="mailto:mona@terabrokerage.com" TargetMode="External"/><Relationship Id="rId196" Type="http://schemas.openxmlformats.org/officeDocument/2006/relationships/hyperlink" Target="mailto:alvaro.arvelo@contshipport.com" TargetMode="External"/><Relationship Id="rId16" Type="http://schemas.openxmlformats.org/officeDocument/2006/relationships/hyperlink" Target="mailto:team@terabrokerage.com" TargetMode="External"/><Relationship Id="rId195" Type="http://schemas.openxmlformats.org/officeDocument/2006/relationships/hyperlink" Target="mailto:roy@rglogistics.net" TargetMode="External"/><Relationship Id="rId19" Type="http://schemas.openxmlformats.org/officeDocument/2006/relationships/hyperlink" Target="mailto:zeki.sensoz@nitlogistics.com" TargetMode="External"/><Relationship Id="rId18" Type="http://schemas.openxmlformats.org/officeDocument/2006/relationships/hyperlink" Target="mailto:frankr@mswarehousing.net" TargetMode="External"/><Relationship Id="rId199" Type="http://schemas.openxmlformats.org/officeDocument/2006/relationships/hyperlink" Target="mailto:lian@globalgridlogistics.com" TargetMode="External"/><Relationship Id="rId84" Type="http://schemas.openxmlformats.org/officeDocument/2006/relationships/hyperlink" Target="mailto:admin@netruckingforme.com" TargetMode="External"/><Relationship Id="rId83" Type="http://schemas.openxmlformats.org/officeDocument/2006/relationships/hyperlink" Target="mailto:erik.korondy@optimize3pl.com" TargetMode="External"/><Relationship Id="rId86" Type="http://schemas.openxmlformats.org/officeDocument/2006/relationships/hyperlink" Target="mailto:mike@limcologistics.com" TargetMode="External"/><Relationship Id="rId85" Type="http://schemas.openxmlformats.org/officeDocument/2006/relationships/hyperlink" Target="mailto:nic.wolk@crossfirelogistics.com" TargetMode="External"/><Relationship Id="rId88" Type="http://schemas.openxmlformats.org/officeDocument/2006/relationships/hyperlink" Target="mailto:kevin@gorillalogistics.com" TargetMode="External"/><Relationship Id="rId150" Type="http://schemas.openxmlformats.org/officeDocument/2006/relationships/hyperlink" Target="mailto:finn@valueloads.com" TargetMode="External"/><Relationship Id="rId87" Type="http://schemas.openxmlformats.org/officeDocument/2006/relationships/hyperlink" Target="mailto:chiemeka@donencargo.com" TargetMode="External"/><Relationship Id="rId89" Type="http://schemas.openxmlformats.org/officeDocument/2006/relationships/hyperlink" Target="mailto:quotes@atlanticpacificlines.com" TargetMode="External"/><Relationship Id="rId80" Type="http://schemas.openxmlformats.org/officeDocument/2006/relationships/hyperlink" Target="mailto:daniel@constantsupplycs.com" TargetMode="External"/><Relationship Id="rId82" Type="http://schemas.openxmlformats.org/officeDocument/2006/relationships/hyperlink" Target="mailto:jordanchenier@leviathanfreight.com" TargetMode="External"/><Relationship Id="rId81" Type="http://schemas.openxmlformats.org/officeDocument/2006/relationships/hyperlink" Target="mailto:info@svojasinc.com" TargetMode="External"/><Relationship Id="rId1" Type="http://schemas.openxmlformats.org/officeDocument/2006/relationships/hyperlink" Target="mailto:rodrigo@abgroupshipping.com" TargetMode="External"/><Relationship Id="rId2" Type="http://schemas.openxmlformats.org/officeDocument/2006/relationships/hyperlink" Target="mailto:michael.lapira@beyondlogix.com" TargetMode="External"/><Relationship Id="rId3" Type="http://schemas.openxmlformats.org/officeDocument/2006/relationships/hyperlink" Target="mailto:business@beyondlogix.com" TargetMode="External"/><Relationship Id="rId149" Type="http://schemas.openxmlformats.org/officeDocument/2006/relationships/hyperlink" Target="mailto:jacob@worldcargosolutions.us" TargetMode="External"/><Relationship Id="rId4" Type="http://schemas.openxmlformats.org/officeDocument/2006/relationships/hyperlink" Target="mailto:us.dfa@1upcargo.com" TargetMode="External"/><Relationship Id="rId148" Type="http://schemas.openxmlformats.org/officeDocument/2006/relationships/hyperlink" Target="mailto:raza.rao@sionow.com" TargetMode="External"/><Relationship Id="rId9" Type="http://schemas.openxmlformats.org/officeDocument/2006/relationships/hyperlink" Target="mailto:Ovidio.lopez@rmnusa.com" TargetMode="External"/><Relationship Id="rId143" Type="http://schemas.openxmlformats.org/officeDocument/2006/relationships/hyperlink" Target="mailto:hardik.kansara@ksbshipping.com" TargetMode="External"/><Relationship Id="rId142" Type="http://schemas.openxmlformats.org/officeDocument/2006/relationships/hyperlink" Target="mailto:patrick.kuys@gulfmarinecontracting.com" TargetMode="External"/><Relationship Id="rId141" Type="http://schemas.openxmlformats.org/officeDocument/2006/relationships/hyperlink" Target="mailto:hamidh@miamigloballines.com" TargetMode="External"/><Relationship Id="rId140" Type="http://schemas.openxmlformats.org/officeDocument/2006/relationships/hyperlink" Target="mailto:andrei.jansen@101scg.com" TargetMode="External"/><Relationship Id="rId5" Type="http://schemas.openxmlformats.org/officeDocument/2006/relationships/hyperlink" Target="mailto:international@watco.com" TargetMode="External"/><Relationship Id="rId147" Type="http://schemas.openxmlformats.org/officeDocument/2006/relationships/hyperlink" Target="mailto:jon@kinghoodintl.com" TargetMode="External"/><Relationship Id="rId6" Type="http://schemas.openxmlformats.org/officeDocument/2006/relationships/hyperlink" Target="mailto:logistics@midshiplogistics.com" TargetMode="External"/><Relationship Id="rId146" Type="http://schemas.openxmlformats.org/officeDocument/2006/relationships/hyperlink" Target="mailto:petermiao@tufreighter.com" TargetMode="External"/><Relationship Id="rId7" Type="http://schemas.openxmlformats.org/officeDocument/2006/relationships/hyperlink" Target="mailto:dmatejka@bybglobalcorp.com" TargetMode="External"/><Relationship Id="rId145" Type="http://schemas.openxmlformats.org/officeDocument/2006/relationships/hyperlink" Target="mailto:diego.yoon@cncworldwide.com" TargetMode="External"/><Relationship Id="rId8" Type="http://schemas.openxmlformats.org/officeDocument/2006/relationships/hyperlink" Target="mailto:kzhang@eurybia.us" TargetMode="External"/><Relationship Id="rId144" Type="http://schemas.openxmlformats.org/officeDocument/2006/relationships/hyperlink" Target="mailto:sylvia@gjhlogisticservices.com" TargetMode="External"/><Relationship Id="rId73" Type="http://schemas.openxmlformats.org/officeDocument/2006/relationships/hyperlink" Target="mailto:mona@terabrokerage.com" TargetMode="External"/><Relationship Id="rId72" Type="http://schemas.openxmlformats.org/officeDocument/2006/relationships/hyperlink" Target="mailto:team@terabrokerage.com" TargetMode="External"/><Relationship Id="rId75" Type="http://schemas.openxmlformats.org/officeDocument/2006/relationships/hyperlink" Target="mailto:zeki.sensoz@nitlogistics.com" TargetMode="External"/><Relationship Id="rId74" Type="http://schemas.openxmlformats.org/officeDocument/2006/relationships/hyperlink" Target="mailto:frankr@mswarehousing.net" TargetMode="External"/><Relationship Id="rId77" Type="http://schemas.openxmlformats.org/officeDocument/2006/relationships/hyperlink" Target="mailto:andrew.murjani@goldenbridge-intl.com" TargetMode="External"/><Relationship Id="rId76" Type="http://schemas.openxmlformats.org/officeDocument/2006/relationships/hyperlink" Target="mailto:paula@exfreight.com" TargetMode="External"/><Relationship Id="rId79" Type="http://schemas.openxmlformats.org/officeDocument/2006/relationships/hyperlink" Target="mailto:quotes-usa@lowfreightrate.ca" TargetMode="External"/><Relationship Id="rId78" Type="http://schemas.openxmlformats.org/officeDocument/2006/relationships/hyperlink" Target="mailto:henry.brown@deependfreightservices.com" TargetMode="External"/><Relationship Id="rId71" Type="http://schemas.openxmlformats.org/officeDocument/2006/relationships/hyperlink" Target="mailto:david.tsai@lax.aftyusa.com" TargetMode="External"/><Relationship Id="rId70" Type="http://schemas.openxmlformats.org/officeDocument/2006/relationships/hyperlink" Target="mailto:americas@cargomondo.com" TargetMode="External"/><Relationship Id="rId139" Type="http://schemas.openxmlformats.org/officeDocument/2006/relationships/hyperlink" Target="mailto:agent@alusworldtradeexpress.com" TargetMode="External"/><Relationship Id="rId138" Type="http://schemas.openxmlformats.org/officeDocument/2006/relationships/hyperlink" Target="mailto:bruce.souls@afstil.com" TargetMode="External"/><Relationship Id="rId137" Type="http://schemas.openxmlformats.org/officeDocument/2006/relationships/hyperlink" Target="mailto:darrell@canaanxpress.com" TargetMode="External"/><Relationship Id="rId132" Type="http://schemas.openxmlformats.org/officeDocument/2006/relationships/hyperlink" Target="mailto:apinto@contraamerica.com" TargetMode="External"/><Relationship Id="rId131" Type="http://schemas.openxmlformats.org/officeDocument/2006/relationships/hyperlink" Target="mailto:dispatch1@ryaantrans.com" TargetMode="External"/><Relationship Id="rId130" Type="http://schemas.openxmlformats.org/officeDocument/2006/relationships/hyperlink" Target="mailto:info@athensgrouptrx.com" TargetMode="External"/><Relationship Id="rId136" Type="http://schemas.openxmlformats.org/officeDocument/2006/relationships/hyperlink" Target="mailto:mohit@vablogisticsinc.com" TargetMode="External"/><Relationship Id="rId135" Type="http://schemas.openxmlformats.org/officeDocument/2006/relationships/hyperlink" Target="mailto:kasra@shipit.com" TargetMode="External"/><Relationship Id="rId134" Type="http://schemas.openxmlformats.org/officeDocument/2006/relationships/hyperlink" Target="mailto:shevon@quacyscontainerlines.com" TargetMode="External"/><Relationship Id="rId133" Type="http://schemas.openxmlformats.org/officeDocument/2006/relationships/hyperlink" Target="mailto:nicole.davis@eternitylogistics.com" TargetMode="External"/><Relationship Id="rId62" Type="http://schemas.openxmlformats.org/officeDocument/2006/relationships/hyperlink" Target="mailto:david@shipworldinc.com" TargetMode="External"/><Relationship Id="rId61" Type="http://schemas.openxmlformats.org/officeDocument/2006/relationships/hyperlink" Target="mailto:henry.wilson@boatium.net" TargetMode="External"/><Relationship Id="rId64" Type="http://schemas.openxmlformats.org/officeDocument/2006/relationships/hyperlink" Target="mailto:jose@nlius.com" TargetMode="External"/><Relationship Id="rId63" Type="http://schemas.openxmlformats.org/officeDocument/2006/relationships/hyperlink" Target="mailto:support@ktclogisticscompany.com" TargetMode="External"/><Relationship Id="rId66" Type="http://schemas.openxmlformats.org/officeDocument/2006/relationships/hyperlink" Target="mailto:jpdematteis@sea-side.us" TargetMode="External"/><Relationship Id="rId172" Type="http://schemas.openxmlformats.org/officeDocument/2006/relationships/hyperlink" Target="mailto:mhassan@uslas.com" TargetMode="External"/><Relationship Id="rId65" Type="http://schemas.openxmlformats.org/officeDocument/2006/relationships/hyperlink" Target="mailto:info@protondustry.com" TargetMode="External"/><Relationship Id="rId171" Type="http://schemas.openxmlformats.org/officeDocument/2006/relationships/hyperlink" Target="mailto:paul.mathews@truckrunner.org" TargetMode="External"/><Relationship Id="rId68" Type="http://schemas.openxmlformats.org/officeDocument/2006/relationships/hyperlink" Target="mailto:info@bayshorelogistics.com" TargetMode="External"/><Relationship Id="rId170" Type="http://schemas.openxmlformats.org/officeDocument/2006/relationships/hyperlink" Target="mailto:marco.estrada@jhrose.com" TargetMode="External"/><Relationship Id="rId67" Type="http://schemas.openxmlformats.org/officeDocument/2006/relationships/hyperlink" Target="mailto:info@quick-ex.net" TargetMode="External"/><Relationship Id="rId60" Type="http://schemas.openxmlformats.org/officeDocument/2006/relationships/hyperlink" Target="mailto:elon@amerigologistics.us" TargetMode="External"/><Relationship Id="rId165" Type="http://schemas.openxmlformats.org/officeDocument/2006/relationships/hyperlink" Target="mailto:roy.chen@dimerc.com" TargetMode="External"/><Relationship Id="rId69" Type="http://schemas.openxmlformats.org/officeDocument/2006/relationships/hyperlink" Target="mailto:dfamiausa@knalogistics.com" TargetMode="External"/><Relationship Id="rId164" Type="http://schemas.openxmlformats.org/officeDocument/2006/relationships/hyperlink" Target="mailto:olugbenga.o@supremeinternational.com" TargetMode="External"/><Relationship Id="rId163" Type="http://schemas.openxmlformats.org/officeDocument/2006/relationships/hyperlink" Target="mailto:dispatch@solventlogistics.com" TargetMode="External"/><Relationship Id="rId162" Type="http://schemas.openxmlformats.org/officeDocument/2006/relationships/hyperlink" Target="mailto:jake.kiss@amazon.com" TargetMode="External"/><Relationship Id="rId169" Type="http://schemas.openxmlformats.org/officeDocument/2006/relationships/hyperlink" Target="mailto:zoey.martin@deltalogisticsinc.com" TargetMode="External"/><Relationship Id="rId168" Type="http://schemas.openxmlformats.org/officeDocument/2006/relationships/hyperlink" Target="mailto:carlos.gonzalez@abdlogisticsgroup.com" TargetMode="External"/><Relationship Id="rId167" Type="http://schemas.openxmlformats.org/officeDocument/2006/relationships/hyperlink" Target="mailto:logistics.usa@osttbrokerage.com" TargetMode="External"/><Relationship Id="rId166" Type="http://schemas.openxmlformats.org/officeDocument/2006/relationships/hyperlink" Target="mailto:mike@worldwidecentralfreight.com" TargetMode="External"/><Relationship Id="rId51" Type="http://schemas.openxmlformats.org/officeDocument/2006/relationships/hyperlink" Target="mailto:info@anthillcrossdocking.com" TargetMode="External"/><Relationship Id="rId50" Type="http://schemas.openxmlformats.org/officeDocument/2006/relationships/hyperlink" Target="mailto:admin@freightforwardingsolutions.net" TargetMode="External"/><Relationship Id="rId53" Type="http://schemas.openxmlformats.org/officeDocument/2006/relationships/hyperlink" Target="mailto:johnmathew@jhuttytranz.us" TargetMode="External"/><Relationship Id="rId52" Type="http://schemas.openxmlformats.org/officeDocument/2006/relationships/hyperlink" Target="mailto:alisa.kolar@hancockintl.com" TargetMode="External"/><Relationship Id="rId55" Type="http://schemas.openxmlformats.org/officeDocument/2006/relationships/hyperlink" Target="mailto:us-cp@cargo-passion.com" TargetMode="External"/><Relationship Id="rId161" Type="http://schemas.openxmlformats.org/officeDocument/2006/relationships/hyperlink" Target="mailto:lindsay@uwinc.com" TargetMode="External"/><Relationship Id="rId54" Type="http://schemas.openxmlformats.org/officeDocument/2006/relationships/hyperlink" Target="mailto:jspencer@spencervisionlogistics.com" TargetMode="External"/><Relationship Id="rId160" Type="http://schemas.openxmlformats.org/officeDocument/2006/relationships/hyperlink" Target="mailto:support@solutionlogistics.net" TargetMode="External"/><Relationship Id="rId57" Type="http://schemas.openxmlformats.org/officeDocument/2006/relationships/hyperlink" Target="mailto:sales1@ram-shipping.com" TargetMode="External"/><Relationship Id="rId56" Type="http://schemas.openxmlformats.org/officeDocument/2006/relationships/hyperlink" Target="mailto:pricing@icmcargo.com" TargetMode="External"/><Relationship Id="rId159" Type="http://schemas.openxmlformats.org/officeDocument/2006/relationships/hyperlink" Target="mailto:edgar.diaz@aeroproto.com" TargetMode="External"/><Relationship Id="rId59" Type="http://schemas.openxmlformats.org/officeDocument/2006/relationships/hyperlink" Target="mailto:usa.shipments@chicfreight.com" TargetMode="External"/><Relationship Id="rId154" Type="http://schemas.openxmlformats.org/officeDocument/2006/relationships/hyperlink" Target="mailto:patrick@rppexpress.com" TargetMode="External"/><Relationship Id="rId58" Type="http://schemas.openxmlformats.org/officeDocument/2006/relationships/hyperlink" Target="mailto:mohasan@sablogisticllc.com" TargetMode="External"/><Relationship Id="rId153" Type="http://schemas.openxmlformats.org/officeDocument/2006/relationships/hyperlink" Target="mailto:ussm@essebrokerage.com" TargetMode="External"/><Relationship Id="rId152" Type="http://schemas.openxmlformats.org/officeDocument/2006/relationships/hyperlink" Target="mailto:danny@vineyardbrokerage.com" TargetMode="External"/><Relationship Id="rId151" Type="http://schemas.openxmlformats.org/officeDocument/2006/relationships/hyperlink" Target="mailto:joe@foxlogistics.us" TargetMode="External"/><Relationship Id="rId158" Type="http://schemas.openxmlformats.org/officeDocument/2006/relationships/hyperlink" Target="mailto:peter.randls@klmline.us" TargetMode="External"/><Relationship Id="rId157" Type="http://schemas.openxmlformats.org/officeDocument/2006/relationships/hyperlink" Target="mailto:nick@ffs-logistics.com" TargetMode="External"/><Relationship Id="rId156" Type="http://schemas.openxmlformats.org/officeDocument/2006/relationships/hyperlink" Target="mailto:lilian@oclacargo.com" TargetMode="External"/><Relationship Id="rId155" Type="http://schemas.openxmlformats.org/officeDocument/2006/relationships/hyperlink" Target="mailto:pino.ude@sonashipping.com" TargetMode="External"/><Relationship Id="rId107" Type="http://schemas.openxmlformats.org/officeDocument/2006/relationships/hyperlink" Target="mailto:paul.deluca@teuinc.com" TargetMode="External"/><Relationship Id="rId106" Type="http://schemas.openxmlformats.org/officeDocument/2006/relationships/hyperlink" Target="mailto:harry@berkshirebrokers.com" TargetMode="External"/><Relationship Id="rId227" Type="http://schemas.openxmlformats.org/officeDocument/2006/relationships/drawing" Target="../drawings/drawing1.xml"/><Relationship Id="rId105" Type="http://schemas.openxmlformats.org/officeDocument/2006/relationships/hyperlink" Target="mailto:luis@tifww.com" TargetMode="External"/><Relationship Id="rId226" Type="http://schemas.openxmlformats.org/officeDocument/2006/relationships/hyperlink" Target="mailto:adam.williams@kopflogisticsgroup.com" TargetMode="External"/><Relationship Id="rId104" Type="http://schemas.openxmlformats.org/officeDocument/2006/relationships/hyperlink" Target="mailto:eric.w@varstaralliance.com" TargetMode="External"/><Relationship Id="rId225" Type="http://schemas.openxmlformats.org/officeDocument/2006/relationships/hyperlink" Target="mailto:dan.ekberg@fratogo.com" TargetMode="External"/><Relationship Id="rId109" Type="http://schemas.openxmlformats.org/officeDocument/2006/relationships/hyperlink" Target="mailto:elly.martin@bsroadlines.com" TargetMode="External"/><Relationship Id="rId108" Type="http://schemas.openxmlformats.org/officeDocument/2006/relationships/hyperlink" Target="mailto:rob.wilson@allboundlogistics.com" TargetMode="External"/><Relationship Id="rId220" Type="http://schemas.openxmlformats.org/officeDocument/2006/relationships/hyperlink" Target="mailto:mustajab@markhorstrategies.com" TargetMode="External"/><Relationship Id="rId103" Type="http://schemas.openxmlformats.org/officeDocument/2006/relationships/hyperlink" Target="mailto:stevenross@usravens.com" TargetMode="External"/><Relationship Id="rId224" Type="http://schemas.openxmlformats.org/officeDocument/2006/relationships/hyperlink" Target="mailto:dev.imanuel@gracefreightinc.com" TargetMode="External"/><Relationship Id="rId102" Type="http://schemas.openxmlformats.org/officeDocument/2006/relationships/hyperlink" Target="mailto:yousuf@gravitaslogistics.com" TargetMode="External"/><Relationship Id="rId223" Type="http://schemas.openxmlformats.org/officeDocument/2006/relationships/hyperlink" Target="mailto:chris.b@bigbirdinc.co" TargetMode="External"/><Relationship Id="rId101" Type="http://schemas.openxmlformats.org/officeDocument/2006/relationships/hyperlink" Target="mailto:catherine.tello@greencargolimited.com" TargetMode="External"/><Relationship Id="rId222" Type="http://schemas.openxmlformats.org/officeDocument/2006/relationships/hyperlink" Target="mailto:izhar.hussain@moveeralogistics.com" TargetMode="External"/><Relationship Id="rId100" Type="http://schemas.openxmlformats.org/officeDocument/2006/relationships/hyperlink" Target="mailto:nichole.smith@relyancetransport.com" TargetMode="External"/><Relationship Id="rId221" Type="http://schemas.openxmlformats.org/officeDocument/2006/relationships/hyperlink" Target="mailto:transport@movedby.love" TargetMode="External"/><Relationship Id="rId217" Type="http://schemas.openxmlformats.org/officeDocument/2006/relationships/hyperlink" Target="mailto:ramzey@primegloballogistics.com" TargetMode="External"/><Relationship Id="rId216" Type="http://schemas.openxmlformats.org/officeDocument/2006/relationships/hyperlink" Target="mailto:evandro@pmaxcorp.com" TargetMode="External"/><Relationship Id="rId215" Type="http://schemas.openxmlformats.org/officeDocument/2006/relationships/hyperlink" Target="mailto:araza@rlships.com" TargetMode="External"/><Relationship Id="rId214" Type="http://schemas.openxmlformats.org/officeDocument/2006/relationships/hyperlink" Target="mailto:rafael@interoceancontainer.com" TargetMode="External"/><Relationship Id="rId219" Type="http://schemas.openxmlformats.org/officeDocument/2006/relationships/hyperlink" Target="mailto:ivan.gerdzhik@interlogicinc.com" TargetMode="External"/><Relationship Id="rId218" Type="http://schemas.openxmlformats.org/officeDocument/2006/relationships/hyperlink" Target="mailto:shane.watson@amblogistics.us" TargetMode="External"/><Relationship Id="rId213" Type="http://schemas.openxmlformats.org/officeDocument/2006/relationships/hyperlink" Target="mailto:sahal@tealpackaging.com" TargetMode="External"/><Relationship Id="rId212" Type="http://schemas.openxmlformats.org/officeDocument/2006/relationships/hyperlink" Target="mailto:vsostre@worldpaclogistics.com" TargetMode="External"/><Relationship Id="rId211" Type="http://schemas.openxmlformats.org/officeDocument/2006/relationships/hyperlink" Target="mailto:alex.martin@kingsteamlogistics.com" TargetMode="External"/><Relationship Id="rId210" Type="http://schemas.openxmlformats.org/officeDocument/2006/relationships/hyperlink" Target="mailto:ceo@3tsconnect.com" TargetMode="External"/><Relationship Id="rId129" Type="http://schemas.openxmlformats.org/officeDocument/2006/relationships/hyperlink" Target="mailto:hsaadat@globechainlogistics.com" TargetMode="External"/><Relationship Id="rId128" Type="http://schemas.openxmlformats.org/officeDocument/2006/relationships/hyperlink" Target="mailto:danny.m@dtlines.us" TargetMode="External"/><Relationship Id="rId127" Type="http://schemas.openxmlformats.org/officeDocument/2006/relationships/hyperlink" Target="mailto:gianfranco.galese@kompassc.com" TargetMode="External"/><Relationship Id="rId126" Type="http://schemas.openxmlformats.org/officeDocument/2006/relationships/hyperlink" Target="mailto:igor.lis@ardiexpress.com" TargetMode="External"/><Relationship Id="rId121" Type="http://schemas.openxmlformats.org/officeDocument/2006/relationships/hyperlink" Target="mailto:warren@alg.us.com" TargetMode="External"/><Relationship Id="rId120" Type="http://schemas.openxmlformats.org/officeDocument/2006/relationships/hyperlink" Target="mailto:derek@maxx.solutions" TargetMode="External"/><Relationship Id="rId125" Type="http://schemas.openxmlformats.org/officeDocument/2006/relationships/hyperlink" Target="mailto:johnsmith@transex.us" TargetMode="External"/><Relationship Id="rId124" Type="http://schemas.openxmlformats.org/officeDocument/2006/relationships/hyperlink" Target="mailto:marc.muilenberg@allylogistics.com" TargetMode="External"/><Relationship Id="rId123" Type="http://schemas.openxmlformats.org/officeDocument/2006/relationships/hyperlink" Target="mailto:sylvester.luther@loadkonnect.com" TargetMode="External"/><Relationship Id="rId122" Type="http://schemas.openxmlformats.org/officeDocument/2006/relationships/hyperlink" Target="mailto:kevin@clfreights.com" TargetMode="External"/><Relationship Id="rId95" Type="http://schemas.openxmlformats.org/officeDocument/2006/relationships/hyperlink" Target="mailto:rebecca@cosmologisticsllc.com" TargetMode="External"/><Relationship Id="rId94" Type="http://schemas.openxmlformats.org/officeDocument/2006/relationships/hyperlink" Target="mailto:booking@greenlightautotransportation.com" TargetMode="External"/><Relationship Id="rId97" Type="http://schemas.openxmlformats.org/officeDocument/2006/relationships/hyperlink" Target="mailto:peter@pacavologistics.com" TargetMode="External"/><Relationship Id="rId96" Type="http://schemas.openxmlformats.org/officeDocument/2006/relationships/hyperlink" Target="mailto:ogunleye@best4shippingny.com" TargetMode="External"/><Relationship Id="rId99" Type="http://schemas.openxmlformats.org/officeDocument/2006/relationships/hyperlink" Target="mailto:manager@jiyologistics.com" TargetMode="External"/><Relationship Id="rId98" Type="http://schemas.openxmlformats.org/officeDocument/2006/relationships/hyperlink" Target="mailto:directshipper@smilesmotors.com" TargetMode="External"/><Relationship Id="rId91" Type="http://schemas.openxmlformats.org/officeDocument/2006/relationships/hyperlink" Target="mailto:amnindermalhi@cvclgx.com" TargetMode="External"/><Relationship Id="rId90" Type="http://schemas.openxmlformats.org/officeDocument/2006/relationships/hyperlink" Target="mailto:quotes@gtklus.com" TargetMode="External"/><Relationship Id="rId93" Type="http://schemas.openxmlformats.org/officeDocument/2006/relationships/hyperlink" Target="mailto:mohammed@atransitsolutions.com" TargetMode="External"/><Relationship Id="rId92" Type="http://schemas.openxmlformats.org/officeDocument/2006/relationships/hyperlink" Target="mailto:shawn@evoluxiony.com" TargetMode="External"/><Relationship Id="rId118" Type="http://schemas.openxmlformats.org/officeDocument/2006/relationships/hyperlink" Target="mailto:victor@yescargo.net" TargetMode="External"/><Relationship Id="rId117" Type="http://schemas.openxmlformats.org/officeDocument/2006/relationships/hyperlink" Target="mailto:coleaj@childstruckingllc.com" TargetMode="External"/><Relationship Id="rId116" Type="http://schemas.openxmlformats.org/officeDocument/2006/relationships/hyperlink" Target="mailto:dispatch@glorylogisticsllc.com" TargetMode="External"/><Relationship Id="rId115" Type="http://schemas.openxmlformats.org/officeDocument/2006/relationships/hyperlink" Target="mailto:reginald.stewart@stewartglobal.com" TargetMode="External"/><Relationship Id="rId119" Type="http://schemas.openxmlformats.org/officeDocument/2006/relationships/hyperlink" Target="mailto:franz.lara@falcocargo.com" TargetMode="External"/><Relationship Id="rId110" Type="http://schemas.openxmlformats.org/officeDocument/2006/relationships/hyperlink" Target="mailto:john.smith@momogistics.com" TargetMode="External"/><Relationship Id="rId114" Type="http://schemas.openxmlformats.org/officeDocument/2006/relationships/hyperlink" Target="mailto:lamar.white@lp301transport.com" TargetMode="External"/><Relationship Id="rId113" Type="http://schemas.openxmlformats.org/officeDocument/2006/relationships/hyperlink" Target="mailto:cdiaz@fleetforce.com" TargetMode="External"/><Relationship Id="rId112" Type="http://schemas.openxmlformats.org/officeDocument/2006/relationships/hyperlink" Target="mailto:federico.marmolejos@dimarint.com" TargetMode="External"/><Relationship Id="rId111" Type="http://schemas.openxmlformats.org/officeDocument/2006/relationships/hyperlink" Target="mailto:carlos.arango@carcamlogistics.com" TargetMode="External"/><Relationship Id="rId206" Type="http://schemas.openxmlformats.org/officeDocument/2006/relationships/hyperlink" Target="mailto:alaa@logistimania.com" TargetMode="External"/><Relationship Id="rId205" Type="http://schemas.openxmlformats.org/officeDocument/2006/relationships/hyperlink" Target="mailto:shane@squarelogisticsolutions.com" TargetMode="External"/><Relationship Id="rId204" Type="http://schemas.openxmlformats.org/officeDocument/2006/relationships/hyperlink" Target="mailto:usman@hhhlogisticservicesco.com" TargetMode="External"/><Relationship Id="rId203" Type="http://schemas.openxmlformats.org/officeDocument/2006/relationships/hyperlink" Target="mailto:jerome.alley@jratransport.net" TargetMode="External"/><Relationship Id="rId209" Type="http://schemas.openxmlformats.org/officeDocument/2006/relationships/hyperlink" Target="mailto:sam.b@daylordxpress.net" TargetMode="External"/><Relationship Id="rId208" Type="http://schemas.openxmlformats.org/officeDocument/2006/relationships/hyperlink" Target="mailto:nathan@shipsecureinc.com" TargetMode="External"/><Relationship Id="rId207" Type="http://schemas.openxmlformats.org/officeDocument/2006/relationships/hyperlink" Target="mailto:operations@mialogistics.com" TargetMode="External"/><Relationship Id="rId202" Type="http://schemas.openxmlformats.org/officeDocument/2006/relationships/hyperlink" Target="mailto:yerfi.rodriguez@attilaglobal.com" TargetMode="External"/><Relationship Id="rId201" Type="http://schemas.openxmlformats.org/officeDocument/2006/relationships/hyperlink" Target="mailto:avaldez@gdcrdc.com" TargetMode="External"/><Relationship Id="rId200" Type="http://schemas.openxmlformats.org/officeDocument/2006/relationships/hyperlink" Target="mailto:jesse@cytlclt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7.5"/>
    <col customWidth="1" min="3" max="3" width="34.63"/>
    <col customWidth="1" min="4" max="4" width="19.25"/>
    <col customWidth="1" min="5" max="5" width="32.88"/>
    <col customWidth="1" min="6" max="6" width="101.0"/>
    <col customWidth="1" min="7" max="7" width="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4" t="str">
        <f>+1 305 635 2525</f>
        <v>#ERROR!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3" t="s">
        <v>17</v>
      </c>
      <c r="F3" s="2" t="s">
        <v>18</v>
      </c>
      <c r="G3" s="4" t="str">
        <f>+1 337 842 0489</f>
        <v>#ERROR!</v>
      </c>
    </row>
    <row r="4">
      <c r="A4" s="2" t="s">
        <v>19</v>
      </c>
      <c r="B4" s="2" t="s">
        <v>20</v>
      </c>
      <c r="C4" s="2" t="s">
        <v>15</v>
      </c>
      <c r="D4" s="2" t="s">
        <v>21</v>
      </c>
      <c r="E4" s="3" t="s">
        <v>22</v>
      </c>
      <c r="F4" s="2" t="s">
        <v>18</v>
      </c>
      <c r="G4" s="4" t="str">
        <f>+0 833 695 0046</f>
        <v>#ERROR!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3" t="s">
        <v>27</v>
      </c>
      <c r="F5" s="2" t="s">
        <v>28</v>
      </c>
      <c r="G5" s="4" t="str">
        <f>+1 778 968 8995</f>
        <v>#ERROR!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3" t="s">
        <v>33</v>
      </c>
      <c r="F6" s="2" t="s">
        <v>34</v>
      </c>
      <c r="G6" s="4" t="str">
        <f>+1 479 347 7224</f>
        <v>#ERROR!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3" t="s">
        <v>39</v>
      </c>
      <c r="F7" s="2" t="s">
        <v>40</v>
      </c>
      <c r="G7" s="4" t="str">
        <f>+1 516 944 3456</f>
        <v>#ERROR!</v>
      </c>
    </row>
    <row r="8">
      <c r="A8" s="2" t="s">
        <v>41</v>
      </c>
      <c r="B8" s="2" t="s">
        <v>42</v>
      </c>
      <c r="C8" s="2" t="s">
        <v>43</v>
      </c>
      <c r="D8" s="2" t="s">
        <v>44</v>
      </c>
      <c r="E8" s="3" t="s">
        <v>45</v>
      </c>
      <c r="F8" s="2" t="s">
        <v>46</v>
      </c>
      <c r="G8" s="4" t="str">
        <f>+1 786 616 1121</f>
        <v>#ERROR!</v>
      </c>
    </row>
    <row r="9">
      <c r="A9" s="2" t="s">
        <v>47</v>
      </c>
      <c r="B9" s="2" t="s">
        <v>48</v>
      </c>
      <c r="C9" s="2" t="s">
        <v>49</v>
      </c>
      <c r="D9" s="2" t="s">
        <v>50</v>
      </c>
      <c r="E9" s="3" t="s">
        <v>51</v>
      </c>
      <c r="F9" s="2" t="s">
        <v>52</v>
      </c>
      <c r="G9" s="4" t="str">
        <f>+1 661 205 8888</f>
        <v>#ERROR!</v>
      </c>
    </row>
    <row r="10">
      <c r="A10" s="2" t="s">
        <v>53</v>
      </c>
      <c r="B10" s="2" t="s">
        <v>8</v>
      </c>
      <c r="C10" s="2" t="s">
        <v>54</v>
      </c>
      <c r="D10" s="2" t="s">
        <v>55</v>
      </c>
      <c r="E10" s="3" t="s">
        <v>56</v>
      </c>
      <c r="F10" s="2" t="s">
        <v>57</v>
      </c>
      <c r="G10" s="4" t="str">
        <f>+1 786 296 3721</f>
        <v>#ERROR!</v>
      </c>
    </row>
    <row r="11">
      <c r="A11" s="2" t="s">
        <v>58</v>
      </c>
      <c r="B11" s="2" t="s">
        <v>8</v>
      </c>
      <c r="C11" s="2" t="s">
        <v>59</v>
      </c>
      <c r="D11" s="2" t="s">
        <v>60</v>
      </c>
      <c r="E11" s="3" t="s">
        <v>61</v>
      </c>
      <c r="F11" s="2" t="s">
        <v>62</v>
      </c>
      <c r="G11" s="4" t="str">
        <f>+1 786 651 5418</f>
        <v>#ERROR!</v>
      </c>
    </row>
    <row r="12">
      <c r="A12" s="2">
        <v>38712.0</v>
      </c>
      <c r="B12" s="2" t="s">
        <v>63</v>
      </c>
      <c r="C12" s="2" t="s">
        <v>64</v>
      </c>
      <c r="D12" s="2" t="s">
        <v>65</v>
      </c>
      <c r="E12" s="3" t="s">
        <v>66</v>
      </c>
      <c r="F12" s="2" t="s">
        <v>67</v>
      </c>
      <c r="G12" s="4" t="str">
        <f>+1 956 906 6123</f>
        <v>#ERROR!</v>
      </c>
    </row>
    <row r="13">
      <c r="A13" s="2" t="s">
        <v>68</v>
      </c>
      <c r="B13" s="2" t="s">
        <v>69</v>
      </c>
      <c r="C13" s="2" t="s">
        <v>70</v>
      </c>
      <c r="D13" s="2" t="s">
        <v>71</v>
      </c>
      <c r="E13" s="3" t="s">
        <v>72</v>
      </c>
      <c r="F13" s="2" t="s">
        <v>73</v>
      </c>
      <c r="G13" s="4" t="str">
        <f>+1 908 344 9166</f>
        <v>#ERROR!</v>
      </c>
    </row>
    <row r="14">
      <c r="A14" s="2" t="s">
        <v>74</v>
      </c>
      <c r="B14" s="2" t="s">
        <v>75</v>
      </c>
      <c r="C14" s="2" t="s">
        <v>76</v>
      </c>
      <c r="D14" s="2" t="s">
        <v>77</v>
      </c>
      <c r="E14" s="3" t="s">
        <v>78</v>
      </c>
      <c r="F14" s="2" t="s">
        <v>79</v>
      </c>
      <c r="G14" s="4" t="str">
        <f>+1 630 754 9437</f>
        <v>#ERROR!</v>
      </c>
    </row>
    <row r="15">
      <c r="A15" s="2" t="s">
        <v>80</v>
      </c>
      <c r="B15" s="2" t="s">
        <v>8</v>
      </c>
      <c r="C15" s="2" t="s">
        <v>81</v>
      </c>
      <c r="D15" s="2" t="s">
        <v>82</v>
      </c>
      <c r="E15" s="3" t="s">
        <v>83</v>
      </c>
      <c r="F15" s="2" t="s">
        <v>84</v>
      </c>
      <c r="G15" s="4" t="str">
        <f>+1 754 308 8182</f>
        <v>#ERROR!</v>
      </c>
    </row>
    <row r="16">
      <c r="A16" s="2" t="s">
        <v>85</v>
      </c>
      <c r="B16" s="2" t="s">
        <v>86</v>
      </c>
      <c r="C16" s="2" t="s">
        <v>87</v>
      </c>
      <c r="D16" s="2" t="s">
        <v>88</v>
      </c>
      <c r="E16" s="3" t="s">
        <v>89</v>
      </c>
      <c r="F16" s="2" t="s">
        <v>90</v>
      </c>
      <c r="G16" s="4" t="str">
        <f>+1 909 378 2888</f>
        <v>#ERROR!</v>
      </c>
    </row>
    <row r="17">
      <c r="A17" s="2" t="s">
        <v>91</v>
      </c>
      <c r="B17" s="2" t="s">
        <v>36</v>
      </c>
      <c r="C17" s="2" t="s">
        <v>92</v>
      </c>
      <c r="D17" s="2" t="s">
        <v>93</v>
      </c>
      <c r="E17" s="3" t="s">
        <v>94</v>
      </c>
      <c r="F17" s="2" t="s">
        <v>95</v>
      </c>
      <c r="G17" s="4" t="str">
        <f>+1 516 550 7131</f>
        <v>#ERROR!</v>
      </c>
    </row>
    <row r="18">
      <c r="A18" s="2" t="s">
        <v>96</v>
      </c>
      <c r="B18" s="2" t="s">
        <v>36</v>
      </c>
      <c r="C18" s="2" t="s">
        <v>92</v>
      </c>
      <c r="D18" s="2" t="s">
        <v>97</v>
      </c>
      <c r="E18" s="3" t="s">
        <v>98</v>
      </c>
      <c r="F18" s="2" t="s">
        <v>95</v>
      </c>
      <c r="G18" s="4" t="str">
        <f>+1 646 249 5630</f>
        <v>#ERROR!</v>
      </c>
    </row>
    <row r="19">
      <c r="A19" s="2" t="s">
        <v>99</v>
      </c>
      <c r="B19" s="2" t="s">
        <v>100</v>
      </c>
      <c r="C19" s="2" t="s">
        <v>101</v>
      </c>
      <c r="D19" s="2" t="s">
        <v>102</v>
      </c>
      <c r="E19" s="3" t="s">
        <v>103</v>
      </c>
      <c r="F19" s="2" t="s">
        <v>104</v>
      </c>
      <c r="G19" s="4" t="str">
        <f>+1 817 229 4077</f>
        <v>#ERROR!</v>
      </c>
    </row>
    <row r="20">
      <c r="A20" s="2" t="s">
        <v>105</v>
      </c>
      <c r="B20" s="2" t="s">
        <v>69</v>
      </c>
      <c r="C20" s="2" t="s">
        <v>106</v>
      </c>
      <c r="D20" s="2" t="s">
        <v>107</v>
      </c>
      <c r="E20" s="3" t="s">
        <v>108</v>
      </c>
      <c r="F20" s="2" t="s">
        <v>109</v>
      </c>
      <c r="G20" s="4" t="str">
        <f>+1 201 283 9500</f>
        <v>#ERROR!</v>
      </c>
    </row>
    <row r="21">
      <c r="A21" s="2" t="s">
        <v>110</v>
      </c>
      <c r="B21" s="2" t="s">
        <v>111</v>
      </c>
      <c r="C21" s="2" t="s">
        <v>112</v>
      </c>
      <c r="D21" s="2" t="s">
        <v>113</v>
      </c>
      <c r="E21" s="3" t="s">
        <v>114</v>
      </c>
      <c r="F21" s="2" t="s">
        <v>115</v>
      </c>
      <c r="G21" s="4" t="str">
        <f>+1 561 337 1362</f>
        <v>#ERROR!</v>
      </c>
    </row>
    <row r="22">
      <c r="A22" s="1"/>
      <c r="B22" s="1"/>
      <c r="C22" s="1"/>
      <c r="D22" s="1"/>
      <c r="E22" s="1"/>
      <c r="F22" s="1"/>
      <c r="G22" s="1"/>
    </row>
    <row r="23">
      <c r="A23" s="2" t="s">
        <v>116</v>
      </c>
      <c r="B23" s="2" t="s">
        <v>20</v>
      </c>
      <c r="C23" s="2" t="s">
        <v>117</v>
      </c>
      <c r="D23" s="2" t="s">
        <v>118</v>
      </c>
      <c r="E23" s="3" t="s">
        <v>119</v>
      </c>
      <c r="F23" s="2" t="s">
        <v>120</v>
      </c>
      <c r="G23" s="4" t="str">
        <f>+1 404 554 1150</f>
        <v>#ERROR!</v>
      </c>
    </row>
    <row r="24">
      <c r="A24" s="2" t="s">
        <v>121</v>
      </c>
      <c r="B24" s="2" t="s">
        <v>122</v>
      </c>
      <c r="C24" s="2" t="s">
        <v>123</v>
      </c>
      <c r="D24" s="2" t="s">
        <v>124</v>
      </c>
      <c r="E24" s="3" t="s">
        <v>125</v>
      </c>
      <c r="F24" s="2" t="s">
        <v>126</v>
      </c>
      <c r="G24" s="4" t="str">
        <f>+1 714 696 2754</f>
        <v>#ERROR!</v>
      </c>
    </row>
    <row r="25">
      <c r="A25" s="2" t="s">
        <v>127</v>
      </c>
      <c r="B25" s="2" t="s">
        <v>128</v>
      </c>
      <c r="C25" s="2" t="s">
        <v>129</v>
      </c>
      <c r="D25" s="2" t="s">
        <v>130</v>
      </c>
      <c r="E25" s="3" t="s">
        <v>131</v>
      </c>
      <c r="F25" s="2" t="s">
        <v>132</v>
      </c>
      <c r="G25" s="4" t="str">
        <f>+1 916 518 9611</f>
        <v>#ERROR!</v>
      </c>
    </row>
    <row r="26">
      <c r="A26" s="2" t="s">
        <v>133</v>
      </c>
      <c r="B26" s="2" t="s">
        <v>134</v>
      </c>
      <c r="C26" s="2" t="s">
        <v>135</v>
      </c>
      <c r="D26" s="2" t="s">
        <v>136</v>
      </c>
      <c r="E26" s="3" t="s">
        <v>137</v>
      </c>
      <c r="F26" s="2" t="s">
        <v>138</v>
      </c>
      <c r="G26" s="4" t="str">
        <f>+1 551 455 4552</f>
        <v>#ERROR!</v>
      </c>
    </row>
    <row r="27">
      <c r="A27" s="2" t="s">
        <v>139</v>
      </c>
      <c r="B27" s="2" t="s">
        <v>69</v>
      </c>
      <c r="C27" s="2" t="s">
        <v>140</v>
      </c>
      <c r="D27" s="2" t="s">
        <v>141</v>
      </c>
      <c r="E27" s="3" t="s">
        <v>142</v>
      </c>
      <c r="F27" s="2" t="s">
        <v>143</v>
      </c>
      <c r="G27" s="4" t="str">
        <f>+1 845 422 1574</f>
        <v>#ERROR!</v>
      </c>
    </row>
    <row r="28">
      <c r="A28" s="2" t="s">
        <v>144</v>
      </c>
      <c r="B28" s="2" t="s">
        <v>145</v>
      </c>
      <c r="C28" s="2" t="s">
        <v>146</v>
      </c>
      <c r="D28" s="2" t="s">
        <v>147</v>
      </c>
      <c r="E28" s="3" t="s">
        <v>148</v>
      </c>
      <c r="F28" s="2" t="s">
        <v>149</v>
      </c>
      <c r="G28" s="4" t="str">
        <f>+1 732 639 1230</f>
        <v>#ERROR!</v>
      </c>
    </row>
    <row r="29">
      <c r="A29" s="2" t="s">
        <v>150</v>
      </c>
      <c r="B29" s="2" t="s">
        <v>100</v>
      </c>
      <c r="C29" s="2" t="s">
        <v>151</v>
      </c>
      <c r="D29" s="2" t="s">
        <v>152</v>
      </c>
      <c r="E29" s="3" t="s">
        <v>153</v>
      </c>
      <c r="F29" s="2" t="s">
        <v>154</v>
      </c>
      <c r="G29" s="4" t="str">
        <f>+1 346 632 0270</f>
        <v>#ERROR!</v>
      </c>
    </row>
    <row r="30">
      <c r="A30" s="2" t="s">
        <v>155</v>
      </c>
      <c r="B30" s="2" t="s">
        <v>156</v>
      </c>
      <c r="C30" s="2" t="s">
        <v>157</v>
      </c>
      <c r="D30" s="2" t="s">
        <v>158</v>
      </c>
      <c r="E30" s="3" t="s">
        <v>159</v>
      </c>
      <c r="F30" s="2" t="s">
        <v>160</v>
      </c>
      <c r="G30" s="4" t="str">
        <f>+1 312 866 5380</f>
        <v>#ERROR!</v>
      </c>
    </row>
    <row r="31">
      <c r="A31" s="2" t="s">
        <v>161</v>
      </c>
      <c r="B31" s="2" t="s">
        <v>162</v>
      </c>
      <c r="C31" s="2" t="s">
        <v>163</v>
      </c>
      <c r="D31" s="2" t="s">
        <v>164</v>
      </c>
      <c r="E31" s="3" t="s">
        <v>165</v>
      </c>
      <c r="F31" s="2" t="s">
        <v>166</v>
      </c>
      <c r="G31" s="4" t="str">
        <f>+1 732 953 3273</f>
        <v>#ERROR!</v>
      </c>
    </row>
    <row r="32">
      <c r="A32" s="2" t="s">
        <v>167</v>
      </c>
      <c r="B32" s="2" t="s">
        <v>168</v>
      </c>
      <c r="C32" s="2" t="s">
        <v>169</v>
      </c>
      <c r="D32" s="2" t="s">
        <v>170</v>
      </c>
      <c r="E32" s="3" t="s">
        <v>171</v>
      </c>
      <c r="F32" s="2" t="s">
        <v>172</v>
      </c>
      <c r="G32" s="4" t="str">
        <f>+1 380 209 1593</f>
        <v>#ERROR!</v>
      </c>
    </row>
    <row r="33">
      <c r="A33" s="2" t="s">
        <v>173</v>
      </c>
      <c r="B33" s="2" t="s">
        <v>174</v>
      </c>
      <c r="C33" s="2" t="s">
        <v>175</v>
      </c>
      <c r="D33" s="2" t="s">
        <v>176</v>
      </c>
      <c r="E33" s="3" t="s">
        <v>177</v>
      </c>
      <c r="F33" s="2" t="s">
        <v>178</v>
      </c>
      <c r="G33" s="4" t="str">
        <f>+1 916 518 9522</f>
        <v>#ERROR!</v>
      </c>
    </row>
    <row r="34">
      <c r="A34" s="2" t="s">
        <v>179</v>
      </c>
      <c r="B34" s="2" t="s">
        <v>20</v>
      </c>
      <c r="C34" s="2" t="s">
        <v>180</v>
      </c>
      <c r="D34" s="2" t="s">
        <v>181</v>
      </c>
      <c r="E34" s="3" t="s">
        <v>182</v>
      </c>
      <c r="F34" s="2" t="s">
        <v>183</v>
      </c>
      <c r="G34" s="4" t="str">
        <f>+1 940 315 4148</f>
        <v>#ERROR!</v>
      </c>
    </row>
    <row r="35">
      <c r="A35" s="2" t="s">
        <v>184</v>
      </c>
      <c r="B35" s="2" t="s">
        <v>185</v>
      </c>
      <c r="C35" s="2" t="s">
        <v>186</v>
      </c>
      <c r="D35" s="2" t="s">
        <v>187</v>
      </c>
      <c r="E35" s="3" t="s">
        <v>188</v>
      </c>
      <c r="F35" s="2" t="s">
        <v>189</v>
      </c>
      <c r="G35" s="4" t="str">
        <f>+1 317 669 1515</f>
        <v>#ERROR!</v>
      </c>
    </row>
    <row r="36">
      <c r="A36" s="2" t="s">
        <v>190</v>
      </c>
      <c r="B36" s="2" t="s">
        <v>191</v>
      </c>
      <c r="C36" s="2" t="s">
        <v>192</v>
      </c>
      <c r="D36" s="2" t="s">
        <v>193</v>
      </c>
      <c r="E36" s="3" t="s">
        <v>194</v>
      </c>
      <c r="F36" s="2" t="s">
        <v>195</v>
      </c>
      <c r="G36" s="4" t="str">
        <f>+1 951 543 1216</f>
        <v>#ERROR!</v>
      </c>
    </row>
    <row r="37">
      <c r="A37" s="2" t="s">
        <v>196</v>
      </c>
      <c r="B37" s="2" t="s">
        <v>156</v>
      </c>
      <c r="C37" s="2" t="s">
        <v>197</v>
      </c>
      <c r="D37" s="2" t="s">
        <v>198</v>
      </c>
      <c r="E37" s="3" t="s">
        <v>199</v>
      </c>
      <c r="F37" s="2" t="s">
        <v>200</v>
      </c>
      <c r="G37" s="4" t="str">
        <f>+1 847 702 9330</f>
        <v>#ERROR!</v>
      </c>
    </row>
    <row r="38">
      <c r="A38" s="2" t="s">
        <v>201</v>
      </c>
      <c r="B38" s="2" t="s">
        <v>24</v>
      </c>
      <c r="C38" s="2" t="s">
        <v>202</v>
      </c>
      <c r="D38" s="2" t="s">
        <v>203</v>
      </c>
      <c r="E38" s="3" t="s">
        <v>204</v>
      </c>
      <c r="F38" s="2" t="s">
        <v>205</v>
      </c>
      <c r="G38" s="4" t="str">
        <f>+1 310 310 1001</f>
        <v>#ERROR!</v>
      </c>
    </row>
    <row r="39">
      <c r="A39" s="2" t="s">
        <v>206</v>
      </c>
      <c r="B39" s="2" t="s">
        <v>207</v>
      </c>
      <c r="C39" s="2" t="s">
        <v>208</v>
      </c>
      <c r="D39" s="2" t="s">
        <v>209</v>
      </c>
      <c r="E39" s="3" t="s">
        <v>210</v>
      </c>
      <c r="F39" s="2" t="s">
        <v>211</v>
      </c>
      <c r="G39" s="4" t="str">
        <f>+1 312 800 9317</f>
        <v>#ERROR!</v>
      </c>
    </row>
    <row r="40">
      <c r="A40" s="2" t="s">
        <v>212</v>
      </c>
      <c r="B40" s="2" t="s">
        <v>213</v>
      </c>
      <c r="C40" s="2" t="s">
        <v>214</v>
      </c>
      <c r="D40" s="2" t="s">
        <v>215</v>
      </c>
      <c r="E40" s="3" t="s">
        <v>216</v>
      </c>
      <c r="F40" s="2" t="s">
        <v>217</v>
      </c>
      <c r="G40" s="4" t="str">
        <f>+1 224 394 4422</f>
        <v>#ERROR!</v>
      </c>
    </row>
    <row r="41">
      <c r="A41" s="2" t="s">
        <v>218</v>
      </c>
      <c r="B41" s="2" t="s">
        <v>219</v>
      </c>
      <c r="C41" s="2" t="s">
        <v>220</v>
      </c>
      <c r="D41" s="2" t="s">
        <v>221</v>
      </c>
      <c r="E41" s="3" t="s">
        <v>222</v>
      </c>
      <c r="F41" s="2" t="s">
        <v>223</v>
      </c>
      <c r="G41" s="4" t="str">
        <f>+1 347 727 0319</f>
        <v>#ERROR!</v>
      </c>
    </row>
    <row r="42">
      <c r="A42" s="2" t="s">
        <v>224</v>
      </c>
      <c r="B42" s="2" t="s">
        <v>225</v>
      </c>
      <c r="C42" s="2" t="s">
        <v>226</v>
      </c>
      <c r="D42" s="2" t="s">
        <v>227</v>
      </c>
      <c r="E42" s="3" t="s">
        <v>228</v>
      </c>
      <c r="F42" s="2" t="s">
        <v>229</v>
      </c>
      <c r="G42" s="4" t="str">
        <f>+1 206 691 8980</f>
        <v>#ERROR!</v>
      </c>
    </row>
    <row r="43">
      <c r="A43" s="1"/>
      <c r="B43" s="1"/>
      <c r="C43" s="1"/>
      <c r="D43" s="1"/>
      <c r="E43" s="1"/>
      <c r="F43" s="1"/>
      <c r="G43" s="1"/>
    </row>
    <row r="44">
      <c r="A44" s="2" t="s">
        <v>230</v>
      </c>
      <c r="B44" s="2" t="s">
        <v>231</v>
      </c>
      <c r="C44" s="2" t="s">
        <v>232</v>
      </c>
      <c r="D44" s="2" t="s">
        <v>233</v>
      </c>
      <c r="E44" s="3" t="s">
        <v>234</v>
      </c>
      <c r="F44" s="2" t="s">
        <v>235</v>
      </c>
      <c r="G44" s="4" t="str">
        <f>+1 661 735 1415</f>
        <v>#ERROR!</v>
      </c>
    </row>
    <row r="45">
      <c r="A45" s="2" t="s">
        <v>236</v>
      </c>
      <c r="B45" s="2" t="s">
        <v>237</v>
      </c>
      <c r="C45" s="2" t="s">
        <v>238</v>
      </c>
      <c r="D45" s="2" t="s">
        <v>239</v>
      </c>
      <c r="E45" s="3" t="s">
        <v>240</v>
      </c>
      <c r="F45" s="2" t="s">
        <v>241</v>
      </c>
      <c r="G45" s="4" t="str">
        <f>+1 908 803 4578</f>
        <v>#ERROR!</v>
      </c>
    </row>
    <row r="46">
      <c r="A46" s="2" t="s">
        <v>242</v>
      </c>
      <c r="B46" s="2" t="s">
        <v>243</v>
      </c>
      <c r="C46" s="2" t="s">
        <v>244</v>
      </c>
      <c r="D46" s="2" t="s">
        <v>245</v>
      </c>
      <c r="E46" s="3" t="s">
        <v>246</v>
      </c>
      <c r="F46" s="2" t="s">
        <v>247</v>
      </c>
      <c r="G46" s="4" t="str">
        <f>+1 469 942 9618</f>
        <v>#ERROR!</v>
      </c>
    </row>
    <row r="47">
      <c r="A47" s="2" t="s">
        <v>248</v>
      </c>
      <c r="B47" s="2" t="s">
        <v>249</v>
      </c>
      <c r="C47" s="2" t="s">
        <v>250</v>
      </c>
      <c r="D47" s="2" t="s">
        <v>251</v>
      </c>
      <c r="E47" s="3" t="s">
        <v>252</v>
      </c>
      <c r="F47" s="2" t="s">
        <v>253</v>
      </c>
      <c r="G47" s="4" t="str">
        <f>+1 321 229 7577</f>
        <v>#ERROR!</v>
      </c>
    </row>
    <row r="48">
      <c r="A48" s="2" t="s">
        <v>254</v>
      </c>
      <c r="B48" s="2" t="s">
        <v>255</v>
      </c>
      <c r="C48" s="2" t="s">
        <v>256</v>
      </c>
      <c r="D48" s="2" t="s">
        <v>257</v>
      </c>
      <c r="E48" s="3" t="s">
        <v>258</v>
      </c>
      <c r="F48" s="2" t="s">
        <v>259</v>
      </c>
      <c r="G48" s="4" t="str">
        <f>+1 760 285 5822</f>
        <v>#ERROR!</v>
      </c>
    </row>
    <row r="49">
      <c r="A49" s="2" t="s">
        <v>260</v>
      </c>
      <c r="B49" s="2" t="s">
        <v>225</v>
      </c>
      <c r="C49" s="2" t="s">
        <v>261</v>
      </c>
      <c r="D49" s="2" t="s">
        <v>262</v>
      </c>
      <c r="E49" s="3" t="s">
        <v>263</v>
      </c>
      <c r="F49" s="2" t="s">
        <v>264</v>
      </c>
      <c r="G49" s="4" t="str">
        <f>+1 703 544 9898</f>
        <v>#ERROR!</v>
      </c>
    </row>
    <row r="50">
      <c r="A50" s="2" t="s">
        <v>265</v>
      </c>
      <c r="B50" s="2" t="s">
        <v>266</v>
      </c>
      <c r="C50" s="2" t="s">
        <v>267</v>
      </c>
      <c r="D50" s="2" t="s">
        <v>268</v>
      </c>
      <c r="E50" s="3" t="s">
        <v>269</v>
      </c>
      <c r="F50" s="2" t="s">
        <v>270</v>
      </c>
      <c r="G50" s="4" t="str">
        <f>+1 516 864 6707</f>
        <v>#ERROR!</v>
      </c>
    </row>
    <row r="51">
      <c r="A51" s="2" t="s">
        <v>271</v>
      </c>
      <c r="B51" s="2" t="s">
        <v>266</v>
      </c>
      <c r="C51" s="2" t="s">
        <v>272</v>
      </c>
      <c r="D51" s="2" t="s">
        <v>273</v>
      </c>
      <c r="E51" s="3" t="s">
        <v>274</v>
      </c>
      <c r="F51" s="2" t="s">
        <v>275</v>
      </c>
      <c r="G51" s="4" t="str">
        <f>+1 224 766 6661</f>
        <v>#ERROR!</v>
      </c>
    </row>
    <row r="52">
      <c r="A52" s="2" t="s">
        <v>276</v>
      </c>
      <c r="B52" s="2" t="s">
        <v>277</v>
      </c>
      <c r="C52" s="2" t="s">
        <v>278</v>
      </c>
      <c r="D52" s="2" t="s">
        <v>279</v>
      </c>
      <c r="E52" s="3" t="s">
        <v>280</v>
      </c>
      <c r="F52" s="2" t="s">
        <v>281</v>
      </c>
      <c r="G52" s="4" t="str">
        <f>+1 832 797 1579</f>
        <v>#ERROR!</v>
      </c>
    </row>
    <row r="53">
      <c r="A53" s="2" t="s">
        <v>282</v>
      </c>
      <c r="B53" s="2" t="s">
        <v>283</v>
      </c>
      <c r="C53" s="2" t="s">
        <v>284</v>
      </c>
      <c r="D53" s="2" t="s">
        <v>285</v>
      </c>
      <c r="E53" s="3" t="s">
        <v>286</v>
      </c>
      <c r="F53" s="2" t="s">
        <v>287</v>
      </c>
      <c r="G53" s="4" t="str">
        <f>+1 347 285 1504</f>
        <v>#ERROR!</v>
      </c>
    </row>
    <row r="54">
      <c r="A54" s="2" t="s">
        <v>288</v>
      </c>
      <c r="B54" s="2" t="s">
        <v>289</v>
      </c>
      <c r="C54" s="2" t="s">
        <v>290</v>
      </c>
      <c r="D54" s="2" t="s">
        <v>291</v>
      </c>
      <c r="E54" s="3" t="s">
        <v>292</v>
      </c>
      <c r="F54" s="2" t="s">
        <v>104</v>
      </c>
      <c r="G54" s="4" t="str">
        <f>+1 626 206 8293</f>
        <v>#ERROR!</v>
      </c>
    </row>
    <row r="55">
      <c r="A55" s="2" t="s">
        <v>293</v>
      </c>
      <c r="B55" s="2" t="s">
        <v>294</v>
      </c>
      <c r="C55" s="2" t="s">
        <v>295</v>
      </c>
      <c r="D55" s="2" t="s">
        <v>296</v>
      </c>
      <c r="E55" s="3" t="s">
        <v>297</v>
      </c>
      <c r="F55" s="2" t="s">
        <v>298</v>
      </c>
      <c r="G55" s="4" t="str">
        <f>+1 630 550 1796</f>
        <v>#ERROR!</v>
      </c>
    </row>
    <row r="56">
      <c r="A56" s="2" t="s">
        <v>299</v>
      </c>
      <c r="B56" s="2" t="s">
        <v>300</v>
      </c>
      <c r="C56" s="2" t="s">
        <v>301</v>
      </c>
      <c r="D56" s="2" t="s">
        <v>302</v>
      </c>
      <c r="E56" s="3" t="s">
        <v>303</v>
      </c>
      <c r="F56" s="2" t="s">
        <v>304</v>
      </c>
      <c r="G56" s="4" t="str">
        <f>+1 707 771 3004</f>
        <v>#ERROR!</v>
      </c>
    </row>
    <row r="57">
      <c r="A57" s="2" t="s">
        <v>305</v>
      </c>
      <c r="B57" s="2" t="s">
        <v>306</v>
      </c>
      <c r="C57" s="2" t="s">
        <v>307</v>
      </c>
      <c r="D57" s="2" t="s">
        <v>308</v>
      </c>
      <c r="E57" s="3" t="s">
        <v>309</v>
      </c>
      <c r="F57" s="2" t="s">
        <v>310</v>
      </c>
      <c r="G57" s="4" t="str">
        <f>+1 516 463 8059</f>
        <v>#ERROR!</v>
      </c>
    </row>
    <row r="58">
      <c r="A58" s="2" t="s">
        <v>311</v>
      </c>
      <c r="B58" s="2" t="s">
        <v>266</v>
      </c>
      <c r="C58" s="2" t="s">
        <v>312</v>
      </c>
      <c r="D58" s="2" t="s">
        <v>313</v>
      </c>
      <c r="E58" s="3" t="s">
        <v>314</v>
      </c>
      <c r="F58" s="2" t="s">
        <v>315</v>
      </c>
      <c r="G58" s="4" t="str">
        <f>+1 929 231 2977</f>
        <v>#ERROR!</v>
      </c>
    </row>
    <row r="59">
      <c r="A59" s="2" t="s">
        <v>316</v>
      </c>
      <c r="B59" s="2" t="s">
        <v>277</v>
      </c>
      <c r="C59" s="2" t="s">
        <v>317</v>
      </c>
      <c r="D59" s="2" t="s">
        <v>318</v>
      </c>
      <c r="E59" s="3" t="s">
        <v>319</v>
      </c>
      <c r="F59" s="2" t="s">
        <v>320</v>
      </c>
      <c r="G59" s="4" t="str">
        <f>+1 832 471 6658</f>
        <v>#ERROR!</v>
      </c>
    </row>
    <row r="60">
      <c r="A60" s="2" t="s">
        <v>321</v>
      </c>
      <c r="B60" s="2" t="s">
        <v>283</v>
      </c>
      <c r="C60" s="2" t="s">
        <v>322</v>
      </c>
      <c r="D60" s="2" t="s">
        <v>323</v>
      </c>
      <c r="E60" s="3" t="s">
        <v>324</v>
      </c>
      <c r="F60" s="2" t="s">
        <v>325</v>
      </c>
      <c r="G60" s="4" t="str">
        <f>+1 908 242 6070</f>
        <v>#ERROR!</v>
      </c>
    </row>
    <row r="61">
      <c r="A61" s="2" t="s">
        <v>326</v>
      </c>
      <c r="B61" s="2" t="s">
        <v>327</v>
      </c>
      <c r="C61" s="2" t="s">
        <v>328</v>
      </c>
      <c r="D61" s="2" t="s">
        <v>329</v>
      </c>
      <c r="E61" s="3" t="s">
        <v>330</v>
      </c>
      <c r="F61" s="2" t="s">
        <v>195</v>
      </c>
      <c r="G61" s="4" t="str">
        <f>+1 515 771 7566</f>
        <v>#ERROR!</v>
      </c>
    </row>
    <row r="62">
      <c r="A62" s="2" t="s">
        <v>331</v>
      </c>
      <c r="B62" s="2" t="s">
        <v>332</v>
      </c>
      <c r="C62" s="2" t="s">
        <v>333</v>
      </c>
      <c r="D62" s="2" t="s">
        <v>334</v>
      </c>
      <c r="E62" s="3" t="s">
        <v>335</v>
      </c>
      <c r="F62" s="2" t="s">
        <v>336</v>
      </c>
      <c r="G62" s="4" t="str">
        <f>+1 812 821 0654</f>
        <v>#ERROR!</v>
      </c>
    </row>
    <row r="63">
      <c r="A63" s="2" t="s">
        <v>337</v>
      </c>
      <c r="B63" s="2" t="s">
        <v>338</v>
      </c>
      <c r="C63" s="2" t="s">
        <v>339</v>
      </c>
      <c r="D63" s="2" t="s">
        <v>340</v>
      </c>
      <c r="E63" s="3" t="s">
        <v>341</v>
      </c>
      <c r="F63" s="2" t="s">
        <v>342</v>
      </c>
      <c r="G63" s="4" t="str">
        <f>+1 925 961 8039</f>
        <v>#ERROR!</v>
      </c>
    </row>
    <row r="64">
      <c r="A64" s="1"/>
      <c r="B64" s="1"/>
      <c r="C64" s="1"/>
      <c r="D64" s="1"/>
      <c r="E64" s="1"/>
      <c r="F64" s="1"/>
      <c r="G64" s="1"/>
    </row>
    <row r="65">
      <c r="A65" s="2" t="s">
        <v>343</v>
      </c>
      <c r="B65" s="2" t="s">
        <v>344</v>
      </c>
      <c r="C65" s="2" t="s">
        <v>345</v>
      </c>
      <c r="D65" s="2" t="s">
        <v>346</v>
      </c>
      <c r="E65" s="3" t="s">
        <v>347</v>
      </c>
      <c r="F65" s="2" t="s">
        <v>348</v>
      </c>
      <c r="G65" s="4" t="str">
        <f>+1 716 755 2587</f>
        <v>#ERROR!</v>
      </c>
    </row>
    <row r="66">
      <c r="A66" s="2" t="s">
        <v>349</v>
      </c>
      <c r="B66" s="2" t="s">
        <v>350</v>
      </c>
      <c r="C66" s="2" t="s">
        <v>351</v>
      </c>
      <c r="D66" s="2" t="s">
        <v>352</v>
      </c>
      <c r="E66" s="3" t="s">
        <v>353</v>
      </c>
      <c r="F66" s="2" t="s">
        <v>143</v>
      </c>
      <c r="G66" s="4" t="str">
        <f>+1 818 812 6467</f>
        <v>#ERROR!</v>
      </c>
    </row>
    <row r="67">
      <c r="A67" s="2" t="s">
        <v>354</v>
      </c>
      <c r="B67" s="2" t="s">
        <v>355</v>
      </c>
      <c r="C67" s="2" t="s">
        <v>356</v>
      </c>
      <c r="D67" s="2" t="s">
        <v>357</v>
      </c>
      <c r="E67" s="3" t="s">
        <v>358</v>
      </c>
      <c r="F67" s="2" t="s">
        <v>359</v>
      </c>
      <c r="G67" s="4" t="str">
        <f>+1 317 827 3755</f>
        <v>#ERROR!</v>
      </c>
    </row>
    <row r="68">
      <c r="A68" s="2" t="s">
        <v>360</v>
      </c>
      <c r="B68" s="2" t="s">
        <v>361</v>
      </c>
      <c r="C68" s="2" t="s">
        <v>362</v>
      </c>
      <c r="D68" s="2" t="s">
        <v>363</v>
      </c>
      <c r="E68" s="3" t="s">
        <v>364</v>
      </c>
      <c r="F68" s="2" t="s">
        <v>365</v>
      </c>
      <c r="G68" s="4" t="str">
        <f>+1 832 844 2747</f>
        <v>#ERROR!</v>
      </c>
    </row>
    <row r="69">
      <c r="A69" s="2" t="s">
        <v>366</v>
      </c>
      <c r="B69" s="2" t="s">
        <v>367</v>
      </c>
      <c r="C69" s="2" t="s">
        <v>368</v>
      </c>
      <c r="D69" s="2" t="s">
        <v>369</v>
      </c>
      <c r="E69" s="3" t="s">
        <v>370</v>
      </c>
      <c r="F69" s="2" t="s">
        <v>235</v>
      </c>
      <c r="G69" s="4" t="str">
        <f>+1 307 353 9757</f>
        <v>#ERROR!</v>
      </c>
    </row>
    <row r="70">
      <c r="A70" s="2" t="s">
        <v>58</v>
      </c>
      <c r="B70" s="2" t="s">
        <v>371</v>
      </c>
      <c r="C70" s="2" t="s">
        <v>59</v>
      </c>
      <c r="D70" s="2" t="s">
        <v>60</v>
      </c>
      <c r="E70" s="3" t="s">
        <v>372</v>
      </c>
      <c r="F70" s="2" t="s">
        <v>373</v>
      </c>
      <c r="G70" s="4" t="str">
        <f>+1 786 651 5418</f>
        <v>#ERROR!</v>
      </c>
    </row>
    <row r="71">
      <c r="A71" s="2">
        <v>38712.0</v>
      </c>
      <c r="B71" s="2" t="s">
        <v>374</v>
      </c>
      <c r="C71" s="2" t="s">
        <v>64</v>
      </c>
      <c r="D71" s="2" t="s">
        <v>65</v>
      </c>
      <c r="E71" s="3" t="s">
        <v>375</v>
      </c>
      <c r="F71" s="2" t="s">
        <v>376</v>
      </c>
      <c r="G71" s="4" t="str">
        <f>+1 956 906 6123</f>
        <v>#ERROR!</v>
      </c>
    </row>
    <row r="72">
      <c r="A72" s="2" t="s">
        <v>68</v>
      </c>
      <c r="B72" s="2" t="s">
        <v>69</v>
      </c>
      <c r="C72" s="2" t="s">
        <v>70</v>
      </c>
      <c r="D72" s="2" t="s">
        <v>71</v>
      </c>
      <c r="E72" s="3" t="s">
        <v>377</v>
      </c>
      <c r="F72" s="2" t="s">
        <v>378</v>
      </c>
      <c r="G72" s="4" t="str">
        <f>+1 908 344 9166</f>
        <v>#ERROR!</v>
      </c>
    </row>
    <row r="73">
      <c r="A73" s="2" t="s">
        <v>74</v>
      </c>
      <c r="B73" s="2" t="s">
        <v>379</v>
      </c>
      <c r="C73" s="2" t="s">
        <v>76</v>
      </c>
      <c r="D73" s="2" t="s">
        <v>77</v>
      </c>
      <c r="E73" s="3" t="s">
        <v>380</v>
      </c>
      <c r="F73" s="2" t="s">
        <v>381</v>
      </c>
      <c r="G73" s="4" t="str">
        <f>+1 630 754 9437</f>
        <v>#ERROR!</v>
      </c>
    </row>
    <row r="74">
      <c r="A74" s="2" t="s">
        <v>80</v>
      </c>
      <c r="B74" s="2" t="s">
        <v>371</v>
      </c>
      <c r="C74" s="2" t="s">
        <v>81</v>
      </c>
      <c r="D74" s="2" t="s">
        <v>82</v>
      </c>
      <c r="E74" s="3" t="s">
        <v>382</v>
      </c>
      <c r="F74" s="2" t="s">
        <v>383</v>
      </c>
      <c r="G74" s="4" t="str">
        <f>+1 754 308 8182</f>
        <v>#ERROR!</v>
      </c>
    </row>
    <row r="75">
      <c r="A75" s="2" t="s">
        <v>85</v>
      </c>
      <c r="B75" s="2" t="s">
        <v>384</v>
      </c>
      <c r="C75" s="2" t="s">
        <v>87</v>
      </c>
      <c r="D75" s="2" t="s">
        <v>88</v>
      </c>
      <c r="E75" s="3" t="s">
        <v>385</v>
      </c>
      <c r="F75" s="2" t="s">
        <v>386</v>
      </c>
      <c r="G75" s="4" t="str">
        <f>+1 909 378 2888</f>
        <v>#ERROR!</v>
      </c>
    </row>
    <row r="76">
      <c r="A76" s="2" t="s">
        <v>91</v>
      </c>
      <c r="B76" s="2" t="s">
        <v>283</v>
      </c>
      <c r="C76" s="2" t="s">
        <v>92</v>
      </c>
      <c r="D76" s="2" t="s">
        <v>93</v>
      </c>
      <c r="E76" s="3" t="s">
        <v>387</v>
      </c>
      <c r="F76" s="2" t="s">
        <v>388</v>
      </c>
      <c r="G76" s="4" t="str">
        <f>+1 516 550 7131</f>
        <v>#ERROR!</v>
      </c>
    </row>
    <row r="77">
      <c r="A77" s="2" t="s">
        <v>96</v>
      </c>
      <c r="B77" s="2" t="s">
        <v>283</v>
      </c>
      <c r="C77" s="2" t="s">
        <v>92</v>
      </c>
      <c r="D77" s="2" t="s">
        <v>97</v>
      </c>
      <c r="E77" s="3" t="s">
        <v>389</v>
      </c>
      <c r="F77" s="2" t="s">
        <v>388</v>
      </c>
      <c r="G77" s="4" t="str">
        <f>+1 646 249 5630</f>
        <v>#ERROR!</v>
      </c>
    </row>
    <row r="78">
      <c r="A78" s="2" t="s">
        <v>99</v>
      </c>
      <c r="B78" s="2" t="s">
        <v>277</v>
      </c>
      <c r="C78" s="2" t="s">
        <v>101</v>
      </c>
      <c r="D78" s="2" t="s">
        <v>390</v>
      </c>
      <c r="E78" s="3" t="s">
        <v>391</v>
      </c>
      <c r="F78" s="2" t="s">
        <v>104</v>
      </c>
      <c r="G78" s="4" t="str">
        <f>+1 817 229 4077</f>
        <v>#ERROR!</v>
      </c>
    </row>
    <row r="79">
      <c r="A79" s="2" t="s">
        <v>105</v>
      </c>
      <c r="B79" s="2" t="s">
        <v>69</v>
      </c>
      <c r="C79" s="2" t="s">
        <v>106</v>
      </c>
      <c r="D79" s="2" t="s">
        <v>107</v>
      </c>
      <c r="E79" s="3" t="s">
        <v>392</v>
      </c>
      <c r="F79" s="2" t="s">
        <v>393</v>
      </c>
      <c r="G79" s="4" t="str">
        <f>+1 201 283 9500</f>
        <v>#ERROR!</v>
      </c>
    </row>
    <row r="80">
      <c r="A80" s="2" t="s">
        <v>110</v>
      </c>
      <c r="B80" s="2" t="s">
        <v>394</v>
      </c>
      <c r="C80" s="2" t="s">
        <v>112</v>
      </c>
      <c r="D80" s="2" t="s">
        <v>113</v>
      </c>
      <c r="E80" s="3" t="s">
        <v>395</v>
      </c>
      <c r="F80" s="2" t="s">
        <v>396</v>
      </c>
      <c r="G80" s="4" t="str">
        <f>+1 561 337 1362</f>
        <v>#ERROR!</v>
      </c>
    </row>
    <row r="81">
      <c r="A81" s="2" t="s">
        <v>397</v>
      </c>
      <c r="B81" s="2" t="s">
        <v>255</v>
      </c>
      <c r="C81" s="2" t="s">
        <v>398</v>
      </c>
      <c r="D81" s="2" t="s">
        <v>399</v>
      </c>
      <c r="E81" s="3" t="s">
        <v>400</v>
      </c>
      <c r="F81" s="2" t="s">
        <v>401</v>
      </c>
      <c r="G81" s="4" t="str">
        <f>+1 626 810 0688</f>
        <v>#ERROR!</v>
      </c>
    </row>
    <row r="82">
      <c r="A82" s="2" t="s">
        <v>402</v>
      </c>
      <c r="B82" s="2" t="s">
        <v>403</v>
      </c>
      <c r="C82" s="2" t="s">
        <v>404</v>
      </c>
      <c r="D82" s="2" t="s">
        <v>245</v>
      </c>
      <c r="E82" s="3" t="s">
        <v>405</v>
      </c>
      <c r="F82" s="2" t="s">
        <v>406</v>
      </c>
      <c r="G82" s="4" t="str">
        <f>+1 267 995 9251</f>
        <v>#ERROR!</v>
      </c>
    </row>
    <row r="83">
      <c r="A83" s="2" t="s">
        <v>407</v>
      </c>
      <c r="B83" s="2" t="s">
        <v>283</v>
      </c>
      <c r="C83" s="2" t="s">
        <v>408</v>
      </c>
      <c r="D83" s="2" t="s">
        <v>409</v>
      </c>
      <c r="E83" s="3" t="s">
        <v>410</v>
      </c>
      <c r="F83" s="2" t="s">
        <v>411</v>
      </c>
      <c r="G83" s="4" t="str">
        <f>+1 416 303 3744</f>
        <v>#ERROR!</v>
      </c>
    </row>
    <row r="84">
      <c r="A84" s="2" t="s">
        <v>412</v>
      </c>
      <c r="B84" s="2" t="s">
        <v>413</v>
      </c>
      <c r="C84" s="2" t="s">
        <v>414</v>
      </c>
      <c r="D84" s="2" t="s">
        <v>415</v>
      </c>
      <c r="E84" s="3" t="s">
        <v>416</v>
      </c>
      <c r="F84" s="2" t="s">
        <v>417</v>
      </c>
      <c r="G84" s="4" t="str">
        <f>+1 323 681 1364</f>
        <v>#ERROR!</v>
      </c>
    </row>
    <row r="85">
      <c r="A85" s="2" t="s">
        <v>418</v>
      </c>
      <c r="B85" s="2" t="s">
        <v>69</v>
      </c>
      <c r="C85" s="2" t="s">
        <v>419</v>
      </c>
      <c r="D85" s="2" t="s">
        <v>420</v>
      </c>
      <c r="E85" s="3" t="s">
        <v>421</v>
      </c>
      <c r="F85" s="2" t="s">
        <v>315</v>
      </c>
      <c r="G85" s="4" t="str">
        <f>+1 201 490 0220</f>
        <v>#ERROR!</v>
      </c>
    </row>
    <row r="86">
      <c r="A86" s="1"/>
      <c r="B86" s="1"/>
      <c r="C86" s="1"/>
      <c r="D86" s="1"/>
      <c r="E86" s="1"/>
      <c r="F86" s="1"/>
      <c r="G86" s="1"/>
    </row>
    <row r="87">
      <c r="A87" s="2" t="s">
        <v>422</v>
      </c>
      <c r="B87" s="2" t="s">
        <v>423</v>
      </c>
      <c r="C87" s="2" t="s">
        <v>424</v>
      </c>
      <c r="D87" s="2" t="s">
        <v>425</v>
      </c>
      <c r="E87" s="3" t="s">
        <v>426</v>
      </c>
      <c r="F87" s="2" t="s">
        <v>427</v>
      </c>
      <c r="G87" s="4" t="str">
        <f>+1 825 444 4716</f>
        <v>#ERROR!</v>
      </c>
    </row>
    <row r="88">
      <c r="A88" s="2" t="s">
        <v>428</v>
      </c>
      <c r="B88" s="2" t="s">
        <v>429</v>
      </c>
      <c r="C88" s="2" t="s">
        <v>430</v>
      </c>
      <c r="D88" s="2" t="s">
        <v>431</v>
      </c>
      <c r="E88" s="3" t="s">
        <v>432</v>
      </c>
      <c r="F88" s="2" t="s">
        <v>433</v>
      </c>
      <c r="G88" s="4" t="str">
        <f>+1 202 810 3765</f>
        <v>#ERROR!</v>
      </c>
    </row>
    <row r="89">
      <c r="A89" s="2" t="s">
        <v>434</v>
      </c>
      <c r="B89" s="2" t="s">
        <v>435</v>
      </c>
      <c r="C89" s="2" t="s">
        <v>436</v>
      </c>
      <c r="D89" s="2" t="s">
        <v>437</v>
      </c>
      <c r="E89" s="3" t="s">
        <v>438</v>
      </c>
      <c r="F89" s="2" t="s">
        <v>439</v>
      </c>
      <c r="G89" s="4" t="str">
        <f>+1 201 243 3482</f>
        <v>#ERROR!</v>
      </c>
    </row>
    <row r="90">
      <c r="A90" s="2" t="s">
        <v>440</v>
      </c>
      <c r="B90" s="2" t="s">
        <v>441</v>
      </c>
      <c r="C90" s="2" t="s">
        <v>442</v>
      </c>
      <c r="D90" s="2" t="s">
        <v>443</v>
      </c>
      <c r="E90" s="3" t="s">
        <v>444</v>
      </c>
      <c r="F90" s="2" t="s">
        <v>433</v>
      </c>
      <c r="G90" s="4" t="str">
        <f>+1 218 391 5589</f>
        <v>#ERROR!</v>
      </c>
    </row>
    <row r="91">
      <c r="A91" s="2" t="s">
        <v>445</v>
      </c>
      <c r="B91" s="2" t="s">
        <v>371</v>
      </c>
      <c r="C91" s="2" t="s">
        <v>446</v>
      </c>
      <c r="D91" s="2" t="s">
        <v>447</v>
      </c>
      <c r="E91" s="3" t="s">
        <v>448</v>
      </c>
      <c r="F91" s="2" t="s">
        <v>433</v>
      </c>
      <c r="G91" s="4" t="str">
        <f>+1 305 899 5100</f>
        <v>#ERROR!</v>
      </c>
    </row>
    <row r="92">
      <c r="A92" s="2" t="s">
        <v>449</v>
      </c>
      <c r="B92" s="2" t="s">
        <v>69</v>
      </c>
      <c r="C92" s="2" t="s">
        <v>450</v>
      </c>
      <c r="D92" s="2" t="s">
        <v>451</v>
      </c>
      <c r="E92" s="3" t="s">
        <v>452</v>
      </c>
      <c r="F92" s="2" t="s">
        <v>433</v>
      </c>
      <c r="G92" s="4" t="str">
        <f>+1 848 439 10783</f>
        <v>#ERROR!</v>
      </c>
    </row>
    <row r="93">
      <c r="A93" s="2" t="s">
        <v>453</v>
      </c>
      <c r="B93" s="2" t="s">
        <v>454</v>
      </c>
      <c r="C93" s="2" t="s">
        <v>455</v>
      </c>
      <c r="D93" s="2" t="s">
        <v>456</v>
      </c>
      <c r="E93" s="3" t="s">
        <v>457</v>
      </c>
      <c r="F93" s="2" t="s">
        <v>433</v>
      </c>
      <c r="G93" s="4" t="str">
        <f>+1 484 258 1247</f>
        <v>#ERROR!</v>
      </c>
    </row>
    <row r="94">
      <c r="A94" s="2" t="s">
        <v>458</v>
      </c>
      <c r="B94" s="2" t="s">
        <v>69</v>
      </c>
      <c r="C94" s="2" t="s">
        <v>459</v>
      </c>
      <c r="D94" s="2" t="s">
        <v>460</v>
      </c>
      <c r="E94" s="3" t="s">
        <v>461</v>
      </c>
      <c r="F94" s="2" t="s">
        <v>433</v>
      </c>
      <c r="G94" s="4" t="str">
        <f>+1 732 285 5300</f>
        <v>#ERROR!</v>
      </c>
    </row>
    <row r="95">
      <c r="A95" s="2" t="s">
        <v>462</v>
      </c>
      <c r="B95" s="2" t="s">
        <v>283</v>
      </c>
      <c r="C95" s="2" t="s">
        <v>463</v>
      </c>
      <c r="D95" s="2" t="s">
        <v>464</v>
      </c>
      <c r="E95" s="3" t="s">
        <v>465</v>
      </c>
      <c r="F95" s="2" t="s">
        <v>433</v>
      </c>
      <c r="G95" s="4" t="str">
        <f>+1 718 726 6342</f>
        <v>#ERROR!</v>
      </c>
    </row>
    <row r="96">
      <c r="A96" s="2" t="s">
        <v>466</v>
      </c>
      <c r="B96" s="2" t="s">
        <v>231</v>
      </c>
      <c r="C96" s="2" t="s">
        <v>467</v>
      </c>
      <c r="D96" s="2" t="s">
        <v>468</v>
      </c>
      <c r="E96" s="3" t="s">
        <v>469</v>
      </c>
      <c r="F96" s="2" t="s">
        <v>195</v>
      </c>
      <c r="G96" s="4" t="str">
        <f>+1 661 218 4400</f>
        <v>#ERROR!</v>
      </c>
    </row>
    <row r="97">
      <c r="A97" s="2" t="s">
        <v>470</v>
      </c>
      <c r="B97" s="2" t="s">
        <v>471</v>
      </c>
      <c r="C97" s="2" t="s">
        <v>472</v>
      </c>
      <c r="D97" s="2" t="s">
        <v>473</v>
      </c>
      <c r="E97" s="3" t="s">
        <v>474</v>
      </c>
      <c r="F97" s="2" t="s">
        <v>433</v>
      </c>
      <c r="G97" s="4" t="str">
        <f>+1 970 872 2235</f>
        <v>#ERROR!</v>
      </c>
    </row>
    <row r="98">
      <c r="A98" s="2" t="s">
        <v>475</v>
      </c>
      <c r="B98" s="2" t="s">
        <v>367</v>
      </c>
      <c r="C98" s="2" t="s">
        <v>476</v>
      </c>
      <c r="D98" s="2" t="s">
        <v>477</v>
      </c>
      <c r="E98" s="3" t="s">
        <v>478</v>
      </c>
      <c r="F98" s="2" t="s">
        <v>195</v>
      </c>
      <c r="G98" s="4" t="str">
        <f>+1 307 218 7518</f>
        <v>#ERROR!</v>
      </c>
    </row>
    <row r="99">
      <c r="A99" s="2" t="s">
        <v>479</v>
      </c>
      <c r="B99" s="2" t="s">
        <v>480</v>
      </c>
      <c r="C99" s="2" t="s">
        <v>481</v>
      </c>
      <c r="D99" s="2" t="s">
        <v>482</v>
      </c>
      <c r="E99" s="3" t="s">
        <v>483</v>
      </c>
      <c r="F99" s="2" t="s">
        <v>433</v>
      </c>
      <c r="G99" s="4" t="str">
        <f>+1 678 404 1005</f>
        <v>#ERROR!</v>
      </c>
    </row>
    <row r="100">
      <c r="A100" s="2" t="s">
        <v>484</v>
      </c>
      <c r="B100" s="2" t="s">
        <v>485</v>
      </c>
      <c r="C100" s="2" t="s">
        <v>486</v>
      </c>
      <c r="D100" s="2" t="s">
        <v>487</v>
      </c>
      <c r="E100" s="3" t="s">
        <v>488</v>
      </c>
      <c r="F100" s="2" t="s">
        <v>433</v>
      </c>
      <c r="G100" s="4" t="str">
        <f>+1 510 224 4812</f>
        <v>#ERROR!</v>
      </c>
    </row>
    <row r="101">
      <c r="A101" s="2" t="s">
        <v>489</v>
      </c>
      <c r="B101" s="2" t="s">
        <v>283</v>
      </c>
      <c r="C101" s="2" t="s">
        <v>490</v>
      </c>
      <c r="D101" s="2" t="s">
        <v>491</v>
      </c>
      <c r="E101" s="3" t="s">
        <v>492</v>
      </c>
      <c r="F101" s="2" t="s">
        <v>433</v>
      </c>
      <c r="G101" s="4" t="str">
        <f>+1 718 430 5104</f>
        <v>#ERROR!</v>
      </c>
    </row>
    <row r="102">
      <c r="A102" s="2" t="s">
        <v>493</v>
      </c>
      <c r="B102" s="2" t="s">
        <v>494</v>
      </c>
      <c r="C102" s="2" t="s">
        <v>495</v>
      </c>
      <c r="D102" s="2" t="s">
        <v>496</v>
      </c>
      <c r="E102" s="3" t="s">
        <v>497</v>
      </c>
      <c r="F102" s="2" t="s">
        <v>433</v>
      </c>
      <c r="G102" s="4" t="str">
        <f>+1 240 501 0246</f>
        <v>#ERROR!</v>
      </c>
    </row>
    <row r="103">
      <c r="A103" s="2" t="s">
        <v>498</v>
      </c>
      <c r="B103" s="2" t="s">
        <v>499</v>
      </c>
      <c r="C103" s="2" t="s">
        <v>500</v>
      </c>
      <c r="D103" s="2" t="s">
        <v>501</v>
      </c>
      <c r="E103" s="3" t="s">
        <v>502</v>
      </c>
      <c r="F103" s="2" t="s">
        <v>195</v>
      </c>
      <c r="G103" s="4" t="str">
        <f>+1 219 801 5255</f>
        <v>#ERROR!</v>
      </c>
    </row>
    <row r="104">
      <c r="A104" s="2" t="s">
        <v>503</v>
      </c>
      <c r="B104" s="2" t="s">
        <v>504</v>
      </c>
      <c r="C104" s="2" t="s">
        <v>505</v>
      </c>
      <c r="D104" s="2" t="s">
        <v>506</v>
      </c>
      <c r="E104" s="3" t="s">
        <v>507</v>
      </c>
      <c r="F104" s="2" t="s">
        <v>433</v>
      </c>
      <c r="G104" s="4" t="str">
        <f>+1 571 384 4888</f>
        <v>#ERROR!</v>
      </c>
    </row>
    <row r="105">
      <c r="A105" s="2" t="s">
        <v>508</v>
      </c>
      <c r="B105" s="2" t="s">
        <v>509</v>
      </c>
      <c r="C105" s="2" t="s">
        <v>510</v>
      </c>
      <c r="D105" s="2" t="s">
        <v>511</v>
      </c>
      <c r="E105" s="3" t="s">
        <v>512</v>
      </c>
      <c r="F105" s="2" t="s">
        <v>195</v>
      </c>
      <c r="G105" s="4" t="str">
        <f>+1 757 329 4995</f>
        <v>#ERROR!</v>
      </c>
    </row>
    <row r="106">
      <c r="A106" s="2" t="s">
        <v>513</v>
      </c>
      <c r="B106" s="2" t="s">
        <v>514</v>
      </c>
      <c r="C106" s="2" t="s">
        <v>515</v>
      </c>
      <c r="D106" s="2" t="s">
        <v>516</v>
      </c>
      <c r="E106" s="3" t="s">
        <v>517</v>
      </c>
      <c r="F106" s="2" t="s">
        <v>433</v>
      </c>
      <c r="G106" s="4" t="str">
        <f>+1 813 385 6404</f>
        <v>#ERROR!</v>
      </c>
    </row>
    <row r="107">
      <c r="A107" s="1"/>
      <c r="B107" s="1"/>
      <c r="C107" s="1"/>
      <c r="D107" s="1"/>
      <c r="E107" s="1"/>
      <c r="F107" s="1"/>
      <c r="G107" s="1"/>
    </row>
    <row r="108">
      <c r="A108" s="2" t="s">
        <v>518</v>
      </c>
      <c r="B108" s="2" t="s">
        <v>519</v>
      </c>
      <c r="C108" s="2" t="s">
        <v>520</v>
      </c>
      <c r="D108" s="2" t="s">
        <v>521</v>
      </c>
      <c r="E108" s="3" t="s">
        <v>522</v>
      </c>
      <c r="F108" s="2" t="s">
        <v>523</v>
      </c>
      <c r="G108" s="4" t="str">
        <f>+1 732 401 9520</f>
        <v>#ERROR!</v>
      </c>
    </row>
    <row r="109">
      <c r="A109" s="2" t="s">
        <v>524</v>
      </c>
      <c r="B109" s="2" t="s">
        <v>485</v>
      </c>
      <c r="C109" s="2" t="s">
        <v>525</v>
      </c>
      <c r="D109" s="2" t="s">
        <v>526</v>
      </c>
      <c r="E109" s="3" t="s">
        <v>527</v>
      </c>
      <c r="F109" s="2" t="s">
        <v>195</v>
      </c>
      <c r="G109" s="4" t="str">
        <f>+1 302 486 4306</f>
        <v>#ERROR!</v>
      </c>
    </row>
    <row r="110">
      <c r="A110" s="2" t="s">
        <v>528</v>
      </c>
      <c r="B110" s="2" t="s">
        <v>529</v>
      </c>
      <c r="C110" s="2" t="s">
        <v>530</v>
      </c>
      <c r="D110" s="2" t="s">
        <v>531</v>
      </c>
      <c r="E110" s="3" t="s">
        <v>532</v>
      </c>
      <c r="F110" s="2" t="s">
        <v>195</v>
      </c>
      <c r="G110" s="4" t="str">
        <f>+1 855 226 7123</f>
        <v>#ERROR!</v>
      </c>
    </row>
    <row r="111">
      <c r="A111" s="2" t="s">
        <v>533</v>
      </c>
      <c r="B111" s="2" t="s">
        <v>471</v>
      </c>
      <c r="C111" s="2" t="s">
        <v>534</v>
      </c>
      <c r="D111" s="2" t="s">
        <v>535</v>
      </c>
      <c r="E111" s="3" t="s">
        <v>536</v>
      </c>
      <c r="F111" s="2" t="s">
        <v>537</v>
      </c>
      <c r="G111" s="4" t="str">
        <f>+1 786 316 9199</f>
        <v>#ERROR!</v>
      </c>
    </row>
    <row r="112">
      <c r="A112" s="2" t="s">
        <v>538</v>
      </c>
      <c r="B112" s="2" t="s">
        <v>539</v>
      </c>
      <c r="C112" s="2" t="s">
        <v>540</v>
      </c>
      <c r="D112" s="2" t="s">
        <v>541</v>
      </c>
      <c r="E112" s="3" t="s">
        <v>542</v>
      </c>
      <c r="F112" s="2" t="s">
        <v>543</v>
      </c>
      <c r="G112" s="4" t="str">
        <f>+1 414 376 6963</f>
        <v>#ERROR!</v>
      </c>
    </row>
    <row r="113">
      <c r="A113" s="2" t="s">
        <v>544</v>
      </c>
      <c r="B113" s="2" t="s">
        <v>545</v>
      </c>
      <c r="C113" s="2" t="s">
        <v>546</v>
      </c>
      <c r="D113" s="2" t="s">
        <v>547</v>
      </c>
      <c r="E113" s="3" t="s">
        <v>548</v>
      </c>
      <c r="F113" s="2" t="s">
        <v>433</v>
      </c>
      <c r="G113" s="4" t="str">
        <f>+1 732 595 9040</f>
        <v>#ERROR!</v>
      </c>
    </row>
    <row r="114">
      <c r="A114" s="2" t="s">
        <v>549</v>
      </c>
      <c r="B114" s="2" t="s">
        <v>550</v>
      </c>
      <c r="C114" s="2" t="s">
        <v>551</v>
      </c>
      <c r="D114" s="2" t="s">
        <v>552</v>
      </c>
      <c r="E114" s="3" t="s">
        <v>553</v>
      </c>
      <c r="F114" s="2" t="s">
        <v>433</v>
      </c>
      <c r="G114" s="4" t="str">
        <f>+1 305 548 0850</f>
        <v>#ERROR!</v>
      </c>
    </row>
    <row r="115">
      <c r="A115" s="2" t="s">
        <v>554</v>
      </c>
      <c r="B115" s="2" t="s">
        <v>555</v>
      </c>
      <c r="C115" s="2" t="s">
        <v>556</v>
      </c>
      <c r="D115" s="2" t="s">
        <v>557</v>
      </c>
      <c r="E115" s="3" t="s">
        <v>558</v>
      </c>
      <c r="F115" s="2" t="s">
        <v>433</v>
      </c>
      <c r="G115" s="4" t="str">
        <f>+1 836 505 3715</f>
        <v>#ERROR!</v>
      </c>
    </row>
    <row r="116">
      <c r="A116" s="2" t="s">
        <v>559</v>
      </c>
      <c r="B116" s="2" t="s">
        <v>560</v>
      </c>
      <c r="C116" s="2" t="s">
        <v>561</v>
      </c>
      <c r="D116" s="2" t="s">
        <v>562</v>
      </c>
      <c r="E116" s="3" t="s">
        <v>563</v>
      </c>
      <c r="F116" s="2" t="s">
        <v>564</v>
      </c>
      <c r="G116" s="4" t="str">
        <f>+1 515 786 3269</f>
        <v>#ERROR!</v>
      </c>
    </row>
    <row r="117">
      <c r="A117" s="2" t="s">
        <v>565</v>
      </c>
      <c r="B117" s="2" t="s">
        <v>371</v>
      </c>
      <c r="C117" s="2" t="s">
        <v>566</v>
      </c>
      <c r="D117" s="2" t="s">
        <v>567</v>
      </c>
      <c r="E117" s="3" t="s">
        <v>568</v>
      </c>
      <c r="F117" s="2" t="s">
        <v>433</v>
      </c>
      <c r="G117" s="4" t="str">
        <f>+1 305 256 3163</f>
        <v>#ERROR!</v>
      </c>
    </row>
    <row r="118">
      <c r="A118" s="2" t="s">
        <v>569</v>
      </c>
      <c r="B118" s="2" t="s">
        <v>371</v>
      </c>
      <c r="C118" s="2" t="s">
        <v>570</v>
      </c>
      <c r="D118" s="2" t="s">
        <v>571</v>
      </c>
      <c r="E118" s="3" t="s">
        <v>572</v>
      </c>
      <c r="F118" s="2" t="s">
        <v>433</v>
      </c>
      <c r="G118" s="4" t="str">
        <f>+1 305 477 2477</f>
        <v>#ERROR!</v>
      </c>
    </row>
    <row r="119">
      <c r="A119" s="2" t="s">
        <v>573</v>
      </c>
      <c r="B119" s="2" t="s">
        <v>413</v>
      </c>
      <c r="C119" s="2" t="s">
        <v>574</v>
      </c>
      <c r="D119" s="2" t="s">
        <v>575</v>
      </c>
      <c r="E119" s="3" t="s">
        <v>576</v>
      </c>
      <c r="F119" s="2" t="s">
        <v>433</v>
      </c>
      <c r="G119" s="4" t="str">
        <f>+1 787 343 8490</f>
        <v>#ERROR!</v>
      </c>
    </row>
    <row r="120">
      <c r="A120" s="2" t="s">
        <v>577</v>
      </c>
      <c r="B120" s="2" t="s">
        <v>578</v>
      </c>
      <c r="C120" s="2" t="s">
        <v>579</v>
      </c>
      <c r="D120" s="2" t="s">
        <v>580</v>
      </c>
      <c r="E120" s="3" t="s">
        <v>581</v>
      </c>
      <c r="F120" s="2" t="s">
        <v>195</v>
      </c>
      <c r="G120" s="4" t="str">
        <f>+1 912 424 5723</f>
        <v>#ERROR!</v>
      </c>
    </row>
    <row r="121">
      <c r="A121" s="2" t="s">
        <v>582</v>
      </c>
      <c r="B121" s="2" t="s">
        <v>277</v>
      </c>
      <c r="C121" s="2" t="s">
        <v>583</v>
      </c>
      <c r="D121" s="2" t="s">
        <v>584</v>
      </c>
      <c r="E121" s="3" t="s">
        <v>585</v>
      </c>
      <c r="F121" s="2" t="s">
        <v>433</v>
      </c>
      <c r="G121" s="4" t="str">
        <f>+1 281 849 2772</f>
        <v>#ERROR!</v>
      </c>
    </row>
    <row r="122">
      <c r="A122" s="2" t="s">
        <v>586</v>
      </c>
      <c r="B122" s="2" t="s">
        <v>587</v>
      </c>
      <c r="C122" s="2" t="s">
        <v>588</v>
      </c>
      <c r="D122" s="2" t="s">
        <v>589</v>
      </c>
      <c r="E122" s="3" t="s">
        <v>590</v>
      </c>
      <c r="F122" s="2" t="s">
        <v>195</v>
      </c>
      <c r="G122" s="4" t="str">
        <f>+1 360 922 4291</f>
        <v>#ERROR!</v>
      </c>
    </row>
    <row r="123">
      <c r="A123" s="2" t="s">
        <v>591</v>
      </c>
      <c r="B123" s="2" t="s">
        <v>592</v>
      </c>
      <c r="C123" s="2" t="s">
        <v>593</v>
      </c>
      <c r="D123" s="2" t="s">
        <v>594</v>
      </c>
      <c r="E123" s="3" t="s">
        <v>595</v>
      </c>
      <c r="F123" s="2" t="s">
        <v>596</v>
      </c>
      <c r="G123" s="4" t="str">
        <f>+1 334 328 6630</f>
        <v>#ERROR!</v>
      </c>
    </row>
    <row r="124">
      <c r="A124" s="2" t="s">
        <v>597</v>
      </c>
      <c r="B124" s="2" t="s">
        <v>598</v>
      </c>
      <c r="C124" s="2" t="s">
        <v>599</v>
      </c>
      <c r="D124" s="2" t="s">
        <v>600</v>
      </c>
      <c r="E124" s="3" t="s">
        <v>601</v>
      </c>
      <c r="F124" s="2" t="s">
        <v>433</v>
      </c>
      <c r="G124" s="4" t="str">
        <f>+1 703 337 7617</f>
        <v>#ERROR!</v>
      </c>
    </row>
    <row r="125">
      <c r="A125" s="2" t="s">
        <v>602</v>
      </c>
      <c r="B125" s="2" t="s">
        <v>471</v>
      </c>
      <c r="C125" s="2" t="s">
        <v>603</v>
      </c>
      <c r="D125" s="2" t="s">
        <v>604</v>
      </c>
      <c r="E125" s="3" t="s">
        <v>605</v>
      </c>
      <c r="F125" s="2" t="s">
        <v>433</v>
      </c>
      <c r="G125" s="4" t="str">
        <f>+1 256 878 9145</f>
        <v>#ERROR!</v>
      </c>
    </row>
    <row r="126">
      <c r="A126" s="2" t="s">
        <v>606</v>
      </c>
      <c r="B126" s="2" t="s">
        <v>607</v>
      </c>
      <c r="C126" s="2" t="s">
        <v>608</v>
      </c>
      <c r="D126" s="2" t="s">
        <v>609</v>
      </c>
      <c r="E126" s="3" t="s">
        <v>610</v>
      </c>
      <c r="F126" s="2" t="s">
        <v>433</v>
      </c>
      <c r="G126" s="4" t="str">
        <f>+1 678 648 9877</f>
        <v>#ERROR!</v>
      </c>
    </row>
    <row r="127">
      <c r="A127" s="2" t="s">
        <v>611</v>
      </c>
      <c r="B127" s="2" t="s">
        <v>612</v>
      </c>
      <c r="C127" s="2" t="s">
        <v>613</v>
      </c>
      <c r="D127" s="2" t="s">
        <v>614</v>
      </c>
      <c r="E127" s="3" t="s">
        <v>615</v>
      </c>
      <c r="F127" s="2" t="s">
        <v>195</v>
      </c>
      <c r="G127" s="4" t="str">
        <f>+1 516 262 5569</f>
        <v>#ERROR!</v>
      </c>
    </row>
    <row r="128">
      <c r="A128" s="1"/>
      <c r="B128" s="1"/>
      <c r="C128" s="1"/>
      <c r="D128" s="1"/>
      <c r="E128" s="1"/>
      <c r="F128" s="1"/>
      <c r="G128" s="1"/>
    </row>
    <row r="129">
      <c r="A129" s="2" t="s">
        <v>616</v>
      </c>
      <c r="B129" s="2" t="s">
        <v>617</v>
      </c>
      <c r="C129" s="2" t="s">
        <v>618</v>
      </c>
      <c r="D129" s="2" t="s">
        <v>619</v>
      </c>
      <c r="E129" s="3" t="s">
        <v>620</v>
      </c>
      <c r="F129" s="2" t="s">
        <v>433</v>
      </c>
      <c r="G129" s="4" t="str">
        <f>+1 484 241 4849</f>
        <v>#ERROR!</v>
      </c>
    </row>
    <row r="130">
      <c r="A130" s="2" t="s">
        <v>621</v>
      </c>
      <c r="B130" s="2" t="s">
        <v>622</v>
      </c>
      <c r="C130" s="2" t="s">
        <v>623</v>
      </c>
      <c r="D130" s="2" t="s">
        <v>624</v>
      </c>
      <c r="E130" s="3" t="s">
        <v>625</v>
      </c>
      <c r="F130" s="2" t="s">
        <v>195</v>
      </c>
      <c r="G130" s="4" t="str">
        <f>+1 909 614 6616</f>
        <v>#ERROR!</v>
      </c>
    </row>
    <row r="131">
      <c r="A131" s="2" t="s">
        <v>626</v>
      </c>
      <c r="B131" s="2" t="s">
        <v>529</v>
      </c>
      <c r="C131" s="2" t="s">
        <v>627</v>
      </c>
      <c r="D131" s="2" t="s">
        <v>628</v>
      </c>
      <c r="E131" s="3" t="s">
        <v>629</v>
      </c>
      <c r="F131" s="2" t="s">
        <v>195</v>
      </c>
      <c r="G131" s="4" t="str">
        <f>+1 888 646 6102</f>
        <v>#ERROR!</v>
      </c>
    </row>
    <row r="132">
      <c r="A132" s="2" t="s">
        <v>630</v>
      </c>
      <c r="B132" s="2" t="s">
        <v>631</v>
      </c>
      <c r="C132" s="2" t="s">
        <v>632</v>
      </c>
      <c r="D132" s="2" t="s">
        <v>562</v>
      </c>
      <c r="E132" s="3" t="s">
        <v>633</v>
      </c>
      <c r="F132" s="2" t="s">
        <v>195</v>
      </c>
      <c r="G132" s="4" t="str">
        <f>+1 919 429 9360</f>
        <v>#ERROR!</v>
      </c>
    </row>
    <row r="133">
      <c r="A133" s="2" t="s">
        <v>634</v>
      </c>
      <c r="B133" s="2" t="s">
        <v>635</v>
      </c>
      <c r="C133" s="2" t="s">
        <v>636</v>
      </c>
      <c r="D133" s="2" t="s">
        <v>637</v>
      </c>
      <c r="E133" s="3" t="s">
        <v>638</v>
      </c>
      <c r="F133" s="2" t="s">
        <v>433</v>
      </c>
      <c r="G133" s="4" t="str">
        <f>+1 951 465 5212</f>
        <v>#ERROR!</v>
      </c>
    </row>
    <row r="134">
      <c r="A134" s="2" t="s">
        <v>639</v>
      </c>
      <c r="B134" s="2" t="s">
        <v>371</v>
      </c>
      <c r="C134" s="2" t="s">
        <v>640</v>
      </c>
      <c r="D134" s="2" t="s">
        <v>641</v>
      </c>
      <c r="E134" s="3" t="s">
        <v>642</v>
      </c>
      <c r="F134" s="2" t="s">
        <v>433</v>
      </c>
      <c r="G134" s="4" t="str">
        <f>+1 786 367 6277</f>
        <v>#ERROR!</v>
      </c>
    </row>
    <row r="135">
      <c r="A135" s="2" t="s">
        <v>643</v>
      </c>
      <c r="B135" s="2" t="s">
        <v>644</v>
      </c>
      <c r="C135" s="2" t="s">
        <v>645</v>
      </c>
      <c r="D135" s="2" t="s">
        <v>646</v>
      </c>
      <c r="E135" s="3" t="s">
        <v>647</v>
      </c>
      <c r="F135" s="2" t="s">
        <v>433</v>
      </c>
      <c r="G135" s="4" t="str">
        <f>+1 255 251 9576</f>
        <v>#ERROR!</v>
      </c>
    </row>
    <row r="136">
      <c r="A136" s="2" t="s">
        <v>648</v>
      </c>
      <c r="B136" s="2" t="s">
        <v>413</v>
      </c>
      <c r="C136" s="2" t="s">
        <v>649</v>
      </c>
      <c r="D136" s="2" t="s">
        <v>650</v>
      </c>
      <c r="E136" s="3" t="s">
        <v>651</v>
      </c>
      <c r="F136" s="2" t="s">
        <v>433</v>
      </c>
      <c r="G136" s="4" t="str">
        <f>+1 310 628 0626</f>
        <v>#ERROR!</v>
      </c>
    </row>
    <row r="137">
      <c r="A137" s="2" t="s">
        <v>652</v>
      </c>
      <c r="B137" s="2" t="s">
        <v>277</v>
      </c>
      <c r="C137" s="2" t="s">
        <v>653</v>
      </c>
      <c r="D137" s="2" t="s">
        <v>654</v>
      </c>
      <c r="E137" s="3" t="s">
        <v>655</v>
      </c>
      <c r="F137" s="2" t="s">
        <v>433</v>
      </c>
      <c r="G137" s="4" t="str">
        <f>+1 281 906 1906</f>
        <v>#ERROR!</v>
      </c>
    </row>
    <row r="138">
      <c r="A138" s="2" t="s">
        <v>656</v>
      </c>
      <c r="B138" s="2" t="s">
        <v>374</v>
      </c>
      <c r="C138" s="2" t="s">
        <v>657</v>
      </c>
      <c r="D138" s="2" t="s">
        <v>658</v>
      </c>
      <c r="E138" s="3" t="s">
        <v>659</v>
      </c>
      <c r="F138" s="2" t="s">
        <v>660</v>
      </c>
      <c r="G138" s="4" t="str">
        <f>+1 943 548 4250</f>
        <v>#ERROR!</v>
      </c>
    </row>
    <row r="139">
      <c r="A139" s="2" t="s">
        <v>661</v>
      </c>
      <c r="B139" s="2" t="s">
        <v>662</v>
      </c>
      <c r="C139" s="2" t="s">
        <v>663</v>
      </c>
      <c r="D139" s="2" t="s">
        <v>664</v>
      </c>
      <c r="E139" s="3" t="s">
        <v>665</v>
      </c>
      <c r="F139" s="2" t="s">
        <v>433</v>
      </c>
      <c r="G139" s="4" t="str">
        <f>+1 543 100 6977</f>
        <v>#ERROR!</v>
      </c>
    </row>
    <row r="140">
      <c r="A140" s="2" t="s">
        <v>666</v>
      </c>
      <c r="B140" s="2" t="s">
        <v>283</v>
      </c>
      <c r="C140" s="2" t="s">
        <v>667</v>
      </c>
      <c r="D140" s="2" t="s">
        <v>668</v>
      </c>
      <c r="E140" s="3" t="s">
        <v>669</v>
      </c>
      <c r="F140" s="2" t="s">
        <v>433</v>
      </c>
      <c r="G140" s="4" t="str">
        <f>+1 551 202 2396</f>
        <v>#ERROR!</v>
      </c>
    </row>
    <row r="141">
      <c r="A141" s="2" t="s">
        <v>670</v>
      </c>
      <c r="B141" s="2" t="s">
        <v>69</v>
      </c>
      <c r="C141" s="2" t="s">
        <v>671</v>
      </c>
      <c r="D141" s="2" t="s">
        <v>672</v>
      </c>
      <c r="E141" s="3" t="s">
        <v>673</v>
      </c>
      <c r="F141" s="2" t="s">
        <v>674</v>
      </c>
      <c r="G141" s="4" t="str">
        <f>+1 973 767 9866</f>
        <v>#ERROR!</v>
      </c>
    </row>
    <row r="142">
      <c r="A142" s="2" t="s">
        <v>675</v>
      </c>
      <c r="B142" s="2" t="s">
        <v>413</v>
      </c>
      <c r="C142" s="2" t="s">
        <v>676</v>
      </c>
      <c r="D142" s="2" t="s">
        <v>677</v>
      </c>
      <c r="E142" s="3" t="s">
        <v>678</v>
      </c>
      <c r="F142" s="2" t="s">
        <v>433</v>
      </c>
      <c r="G142" s="4" t="str">
        <f>+1 308 597 7192</f>
        <v>#ERROR!</v>
      </c>
    </row>
    <row r="143">
      <c r="A143" s="2" t="s">
        <v>679</v>
      </c>
      <c r="B143" s="2" t="s">
        <v>680</v>
      </c>
      <c r="C143" s="2" t="s">
        <v>681</v>
      </c>
      <c r="D143" s="2" t="s">
        <v>682</v>
      </c>
      <c r="E143" s="2" t="s">
        <v>683</v>
      </c>
      <c r="F143" s="2" t="s">
        <v>433</v>
      </c>
      <c r="G143" s="4" t="str">
        <f>+1 424 422 1308</f>
        <v>#ERROR!</v>
      </c>
    </row>
    <row r="144">
      <c r="A144" s="2" t="s">
        <v>684</v>
      </c>
      <c r="B144" s="2" t="s">
        <v>367</v>
      </c>
      <c r="C144" s="2" t="s">
        <v>685</v>
      </c>
      <c r="D144" s="2" t="s">
        <v>686</v>
      </c>
      <c r="E144" s="3" t="s">
        <v>687</v>
      </c>
      <c r="F144" s="2" t="s">
        <v>433</v>
      </c>
      <c r="G144" s="4" t="str">
        <f>+1 307 201 3828</f>
        <v>#ERROR!</v>
      </c>
    </row>
    <row r="145">
      <c r="A145" s="2" t="s">
        <v>688</v>
      </c>
      <c r="B145" s="2" t="s">
        <v>371</v>
      </c>
      <c r="C145" s="2" t="s">
        <v>689</v>
      </c>
      <c r="D145" s="2" t="s">
        <v>690</v>
      </c>
      <c r="E145" s="2" t="s">
        <v>691</v>
      </c>
      <c r="F145" s="2" t="s">
        <v>433</v>
      </c>
      <c r="G145" s="4" t="str">
        <f>+1 305 433 7260</f>
        <v>#ERROR!</v>
      </c>
    </row>
    <row r="146">
      <c r="A146" s="2" t="s">
        <v>692</v>
      </c>
      <c r="B146" s="2" t="s">
        <v>283</v>
      </c>
      <c r="C146" s="2" t="s">
        <v>693</v>
      </c>
      <c r="D146" s="2" t="s">
        <v>694</v>
      </c>
      <c r="E146" s="3" t="s">
        <v>695</v>
      </c>
      <c r="F146" s="2" t="s">
        <v>696</v>
      </c>
      <c r="G146" s="4" t="str">
        <f>+1 516 887 9240</f>
        <v>#ERROR!</v>
      </c>
    </row>
    <row r="147">
      <c r="A147" s="2" t="s">
        <v>697</v>
      </c>
      <c r="B147" s="2" t="s">
        <v>698</v>
      </c>
      <c r="C147" s="2" t="s">
        <v>699</v>
      </c>
      <c r="D147" s="2" t="s">
        <v>700</v>
      </c>
      <c r="E147" s="3" t="s">
        <v>701</v>
      </c>
      <c r="F147" s="2" t="s">
        <v>433</v>
      </c>
      <c r="G147" s="4" t="str">
        <f>+1 800 756 5650</f>
        <v>#ERROR!</v>
      </c>
    </row>
    <row r="148">
      <c r="A148" s="2" t="s">
        <v>702</v>
      </c>
      <c r="B148" s="2" t="s">
        <v>703</v>
      </c>
      <c r="C148" s="2" t="s">
        <v>704</v>
      </c>
      <c r="D148" s="2" t="s">
        <v>705</v>
      </c>
      <c r="E148" s="3" t="s">
        <v>706</v>
      </c>
      <c r="F148" s="2" t="s">
        <v>433</v>
      </c>
      <c r="G148" s="4" t="str">
        <f>+1 475 342 3508</f>
        <v>#ERROR!</v>
      </c>
    </row>
    <row r="149">
      <c r="A149" s="1"/>
      <c r="B149" s="1"/>
      <c r="C149" s="1"/>
      <c r="D149" s="1"/>
      <c r="E149" s="1"/>
      <c r="F149" s="1"/>
      <c r="G149" s="1"/>
    </row>
    <row r="150">
      <c r="A150" s="2" t="s">
        <v>707</v>
      </c>
      <c r="B150" s="2" t="s">
        <v>708</v>
      </c>
      <c r="C150" s="2" t="s">
        <v>709</v>
      </c>
      <c r="D150" s="2" t="s">
        <v>710</v>
      </c>
      <c r="E150" s="3" t="s">
        <v>711</v>
      </c>
      <c r="F150" s="2" t="s">
        <v>433</v>
      </c>
      <c r="G150" s="4" t="str">
        <f>+1 310 341 6503</f>
        <v>#ERROR!</v>
      </c>
    </row>
    <row r="151">
      <c r="A151" s="2" t="s">
        <v>712</v>
      </c>
      <c r="B151" s="2" t="s">
        <v>69</v>
      </c>
      <c r="C151" s="2" t="s">
        <v>713</v>
      </c>
      <c r="D151" s="2" t="s">
        <v>714</v>
      </c>
      <c r="E151" s="3" t="s">
        <v>715</v>
      </c>
      <c r="F151" s="2" t="s">
        <v>433</v>
      </c>
      <c r="G151" s="4" t="str">
        <f>+1 725 460 2356</f>
        <v>#ERROR!</v>
      </c>
    </row>
    <row r="152">
      <c r="A152" s="2" t="s">
        <v>716</v>
      </c>
      <c r="B152" s="2" t="s">
        <v>374</v>
      </c>
      <c r="C152" s="2" t="s">
        <v>717</v>
      </c>
      <c r="D152" s="2" t="s">
        <v>718</v>
      </c>
      <c r="E152" s="3" t="s">
        <v>719</v>
      </c>
      <c r="F152" s="2" t="s">
        <v>433</v>
      </c>
      <c r="G152" s="4" t="str">
        <f>+1 832 296 0640</f>
        <v>#ERROR!</v>
      </c>
    </row>
    <row r="153">
      <c r="A153" s="2" t="s">
        <v>720</v>
      </c>
      <c r="B153" s="2" t="s">
        <v>721</v>
      </c>
      <c r="C153" s="2" t="s">
        <v>722</v>
      </c>
      <c r="D153" s="2" t="s">
        <v>723</v>
      </c>
      <c r="E153" s="3" t="s">
        <v>724</v>
      </c>
      <c r="F153" s="2" t="s">
        <v>725</v>
      </c>
      <c r="G153" s="4" t="str">
        <f>+1 908 034 2438</f>
        <v>#ERROR!</v>
      </c>
    </row>
    <row r="154">
      <c r="A154" s="2" t="s">
        <v>726</v>
      </c>
      <c r="B154" s="2" t="s">
        <v>727</v>
      </c>
      <c r="C154" s="2" t="s">
        <v>728</v>
      </c>
      <c r="D154" s="2" t="s">
        <v>729</v>
      </c>
      <c r="E154" s="3" t="s">
        <v>730</v>
      </c>
      <c r="F154" s="2" t="s">
        <v>731</v>
      </c>
      <c r="G154" s="4" t="str">
        <f>+1 623 476 0034</f>
        <v>#ERROR!</v>
      </c>
    </row>
    <row r="155">
      <c r="A155" s="2" t="s">
        <v>732</v>
      </c>
      <c r="B155" s="2" t="s">
        <v>413</v>
      </c>
      <c r="C155" s="2" t="s">
        <v>733</v>
      </c>
      <c r="D155" s="2" t="s">
        <v>734</v>
      </c>
      <c r="E155" s="3" t="s">
        <v>735</v>
      </c>
      <c r="F155" s="2" t="s">
        <v>696</v>
      </c>
      <c r="G155" s="4" t="str">
        <f>+1 714 656 8513</f>
        <v>#ERROR!</v>
      </c>
    </row>
    <row r="156">
      <c r="A156" s="2" t="s">
        <v>736</v>
      </c>
      <c r="B156" s="2" t="s">
        <v>737</v>
      </c>
      <c r="C156" s="2" t="s">
        <v>738</v>
      </c>
      <c r="D156" s="2" t="s">
        <v>739</v>
      </c>
      <c r="E156" s="2" t="s">
        <v>740</v>
      </c>
      <c r="F156" s="2" t="s">
        <v>433</v>
      </c>
      <c r="G156" s="4" t="str">
        <f>+1 770 731 2683</f>
        <v>#ERROR!</v>
      </c>
    </row>
    <row r="157">
      <c r="A157" s="2" t="s">
        <v>741</v>
      </c>
      <c r="B157" s="2" t="s">
        <v>742</v>
      </c>
      <c r="C157" s="2" t="s">
        <v>743</v>
      </c>
      <c r="D157" s="2" t="s">
        <v>744</v>
      </c>
      <c r="E157" s="3" t="s">
        <v>745</v>
      </c>
      <c r="F157" s="2" t="s">
        <v>433</v>
      </c>
      <c r="G157" s="4" t="str">
        <f>+1 626 271 5692</f>
        <v>#ERROR!</v>
      </c>
    </row>
    <row r="158">
      <c r="A158" s="2" t="s">
        <v>746</v>
      </c>
      <c r="B158" s="2" t="s">
        <v>747</v>
      </c>
      <c r="C158" s="2" t="s">
        <v>748</v>
      </c>
      <c r="D158" s="2" t="s">
        <v>749</v>
      </c>
      <c r="E158" s="3" t="s">
        <v>750</v>
      </c>
      <c r="F158" s="2" t="s">
        <v>433</v>
      </c>
      <c r="G158" s="4" t="str">
        <f>+1 626 615 2620</f>
        <v>#ERROR!</v>
      </c>
    </row>
    <row r="159">
      <c r="A159" s="2" t="s">
        <v>751</v>
      </c>
      <c r="B159" s="2" t="s">
        <v>374</v>
      </c>
      <c r="C159" s="2" t="s">
        <v>752</v>
      </c>
      <c r="D159" s="2" t="s">
        <v>753</v>
      </c>
      <c r="E159" s="3" t="s">
        <v>754</v>
      </c>
      <c r="F159" s="2" t="s">
        <v>696</v>
      </c>
      <c r="G159" s="4" t="str">
        <f>+1 512 758 6907</f>
        <v>#ERROR!</v>
      </c>
    </row>
    <row r="160">
      <c r="A160" s="2" t="s">
        <v>755</v>
      </c>
      <c r="B160" s="2" t="s">
        <v>277</v>
      </c>
      <c r="C160" s="2" t="s">
        <v>756</v>
      </c>
      <c r="D160" s="2" t="s">
        <v>757</v>
      </c>
      <c r="E160" s="3" t="s">
        <v>758</v>
      </c>
      <c r="F160" s="2" t="s">
        <v>696</v>
      </c>
      <c r="G160" s="4" t="str">
        <f>+1 281 407 6164</f>
        <v>#ERROR!</v>
      </c>
    </row>
    <row r="161">
      <c r="A161" s="2" t="s">
        <v>759</v>
      </c>
      <c r="B161" s="2" t="s">
        <v>737</v>
      </c>
      <c r="C161" s="2" t="s">
        <v>760</v>
      </c>
      <c r="D161" s="2" t="s">
        <v>761</v>
      </c>
      <c r="E161" s="3" t="s">
        <v>762</v>
      </c>
      <c r="F161" s="2" t="s">
        <v>433</v>
      </c>
      <c r="G161" s="4" t="str">
        <f>+1 767 582 9588</f>
        <v>#ERROR!</v>
      </c>
    </row>
    <row r="162">
      <c r="A162" s="2" t="s">
        <v>763</v>
      </c>
      <c r="B162" s="2" t="s">
        <v>344</v>
      </c>
      <c r="C162" s="2" t="s">
        <v>764</v>
      </c>
      <c r="D162" s="2" t="s">
        <v>765</v>
      </c>
      <c r="E162" s="3" t="s">
        <v>766</v>
      </c>
      <c r="F162" s="2" t="s">
        <v>195</v>
      </c>
      <c r="G162" s="4" t="str">
        <f>+1 224 236 1800</f>
        <v>#ERROR!</v>
      </c>
    </row>
    <row r="163">
      <c r="A163" s="2" t="s">
        <v>767</v>
      </c>
      <c r="B163" s="2" t="s">
        <v>768</v>
      </c>
      <c r="C163" s="2" t="s">
        <v>769</v>
      </c>
      <c r="D163" s="2" t="s">
        <v>646</v>
      </c>
      <c r="E163" s="3" t="s">
        <v>770</v>
      </c>
      <c r="F163" s="2" t="s">
        <v>433</v>
      </c>
      <c r="G163" s="4" t="str">
        <f>+1 765 612 0081</f>
        <v>#ERROR!</v>
      </c>
    </row>
    <row r="164">
      <c r="A164" s="2" t="s">
        <v>771</v>
      </c>
      <c r="B164" s="2" t="s">
        <v>587</v>
      </c>
      <c r="C164" s="2" t="s">
        <v>772</v>
      </c>
      <c r="D164" s="2" t="s">
        <v>773</v>
      </c>
      <c r="E164" s="3" t="s">
        <v>774</v>
      </c>
      <c r="F164" s="2" t="s">
        <v>696</v>
      </c>
      <c r="G164" s="4" t="str">
        <f>+1 609 981 6712</f>
        <v>#ERROR!</v>
      </c>
    </row>
    <row r="165">
      <c r="A165" s="2" t="s">
        <v>775</v>
      </c>
      <c r="B165" s="2" t="s">
        <v>776</v>
      </c>
      <c r="C165" s="2" t="s">
        <v>777</v>
      </c>
      <c r="D165" s="2" t="s">
        <v>778</v>
      </c>
      <c r="E165" s="3" t="s">
        <v>779</v>
      </c>
      <c r="F165" s="2" t="s">
        <v>433</v>
      </c>
      <c r="G165" s="4" t="str">
        <f>+1 704 461 0042</f>
        <v>#ERROR!</v>
      </c>
    </row>
    <row r="166">
      <c r="A166" s="2" t="s">
        <v>780</v>
      </c>
      <c r="B166" s="2" t="s">
        <v>306</v>
      </c>
      <c r="C166" s="2" t="s">
        <v>781</v>
      </c>
      <c r="D166" s="2" t="s">
        <v>782</v>
      </c>
      <c r="E166" s="3" t="s">
        <v>783</v>
      </c>
      <c r="F166" s="2" t="s">
        <v>433</v>
      </c>
      <c r="G166" s="4" t="str">
        <f>+1 301 915 4856</f>
        <v>#ERROR!</v>
      </c>
    </row>
    <row r="167">
      <c r="A167" s="2" t="s">
        <v>784</v>
      </c>
      <c r="B167" s="2" t="s">
        <v>371</v>
      </c>
      <c r="C167" s="2" t="s">
        <v>785</v>
      </c>
      <c r="D167" s="2" t="s">
        <v>786</v>
      </c>
      <c r="E167" s="3" t="s">
        <v>787</v>
      </c>
      <c r="F167" s="2" t="s">
        <v>433</v>
      </c>
      <c r="G167" s="4" t="str">
        <f>+1 305 331 7368</f>
        <v>#ERROR!</v>
      </c>
    </row>
    <row r="168">
      <c r="A168" s="2" t="s">
        <v>788</v>
      </c>
      <c r="B168" s="2" t="s">
        <v>266</v>
      </c>
      <c r="C168" s="2" t="s">
        <v>789</v>
      </c>
      <c r="D168" s="2" t="s">
        <v>790</v>
      </c>
      <c r="E168" s="3" t="s">
        <v>791</v>
      </c>
      <c r="F168" s="2" t="s">
        <v>433</v>
      </c>
      <c r="G168" s="4" t="str">
        <f>+1 630 586 6632</f>
        <v>#ERROR!</v>
      </c>
    </row>
    <row r="169">
      <c r="A169" s="1"/>
      <c r="B169" s="1"/>
      <c r="C169" s="1"/>
      <c r="D169" s="1"/>
      <c r="E169" s="1"/>
      <c r="F169" s="1"/>
      <c r="G169" s="1"/>
    </row>
    <row r="170">
      <c r="A170" s="2" t="s">
        <v>792</v>
      </c>
      <c r="B170" s="2" t="s">
        <v>69</v>
      </c>
      <c r="C170" s="2" t="s">
        <v>793</v>
      </c>
      <c r="D170" s="2" t="s">
        <v>794</v>
      </c>
      <c r="E170" s="3" t="s">
        <v>795</v>
      </c>
      <c r="F170" s="2" t="s">
        <v>433</v>
      </c>
      <c r="G170" s="4" t="str">
        <f>+1 908 233 5313</f>
        <v>#ERROR!</v>
      </c>
    </row>
    <row r="171">
      <c r="A171" s="2" t="s">
        <v>796</v>
      </c>
      <c r="B171" s="2" t="s">
        <v>371</v>
      </c>
      <c r="C171" s="2" t="s">
        <v>797</v>
      </c>
      <c r="D171" s="2" t="s">
        <v>798</v>
      </c>
      <c r="E171" s="3" t="s">
        <v>799</v>
      </c>
      <c r="F171" s="2" t="s">
        <v>800</v>
      </c>
      <c r="G171" s="4" t="str">
        <f>+1 786 615 8908</f>
        <v>#ERROR!</v>
      </c>
    </row>
    <row r="172">
      <c r="A172" s="2" t="s">
        <v>801</v>
      </c>
      <c r="B172" s="2" t="s">
        <v>802</v>
      </c>
      <c r="C172" s="2" t="s">
        <v>803</v>
      </c>
      <c r="D172" s="2" t="s">
        <v>804</v>
      </c>
      <c r="E172" s="3" t="s">
        <v>805</v>
      </c>
      <c r="F172" s="2" t="s">
        <v>806</v>
      </c>
      <c r="G172" s="4" t="str">
        <f>+1 307 276 5900</f>
        <v>#ERROR!</v>
      </c>
    </row>
    <row r="173">
      <c r="A173" s="2" t="s">
        <v>807</v>
      </c>
      <c r="B173" s="2" t="s">
        <v>808</v>
      </c>
      <c r="C173" s="2" t="s">
        <v>809</v>
      </c>
      <c r="D173" s="2" t="s">
        <v>810</v>
      </c>
      <c r="E173" s="3" t="s">
        <v>811</v>
      </c>
      <c r="F173" s="2" t="s">
        <v>433</v>
      </c>
      <c r="G173" s="4" t="str">
        <f>+1 718 961 5350</f>
        <v>#ERROR!</v>
      </c>
    </row>
    <row r="174">
      <c r="A174" s="2" t="s">
        <v>812</v>
      </c>
      <c r="B174" s="2" t="s">
        <v>69</v>
      </c>
      <c r="C174" s="2" t="s">
        <v>813</v>
      </c>
      <c r="D174" s="2" t="s">
        <v>814</v>
      </c>
      <c r="E174" s="2" t="s">
        <v>815</v>
      </c>
      <c r="F174" s="2" t="s">
        <v>433</v>
      </c>
      <c r="G174" s="4" t="str">
        <f>+1 551 430 5992</f>
        <v>#ERROR!</v>
      </c>
    </row>
    <row r="175">
      <c r="A175" s="2" t="s">
        <v>816</v>
      </c>
      <c r="B175" s="2" t="s">
        <v>587</v>
      </c>
      <c r="C175" s="2" t="s">
        <v>817</v>
      </c>
      <c r="D175" s="2" t="s">
        <v>818</v>
      </c>
      <c r="E175" s="3" t="s">
        <v>819</v>
      </c>
      <c r="F175" s="2" t="s">
        <v>195</v>
      </c>
      <c r="G175" s="4" t="str">
        <f>+1 312 776 6779</f>
        <v>#ERROR!</v>
      </c>
    </row>
    <row r="176">
      <c r="A176" s="2" t="s">
        <v>820</v>
      </c>
      <c r="B176" s="2" t="s">
        <v>821</v>
      </c>
      <c r="C176" s="2" t="s">
        <v>822</v>
      </c>
      <c r="D176" s="2" t="s">
        <v>823</v>
      </c>
      <c r="E176" s="3" t="s">
        <v>824</v>
      </c>
      <c r="F176" s="2" t="s">
        <v>696</v>
      </c>
      <c r="G176" s="4" t="str">
        <f>+1 980 202 7799</f>
        <v>#ERROR!</v>
      </c>
    </row>
    <row r="177">
      <c r="A177" s="2" t="s">
        <v>825</v>
      </c>
      <c r="B177" s="2" t="s">
        <v>266</v>
      </c>
      <c r="C177" s="2" t="s">
        <v>826</v>
      </c>
      <c r="D177" s="2" t="s">
        <v>827</v>
      </c>
      <c r="E177" s="3" t="s">
        <v>828</v>
      </c>
      <c r="F177" s="2" t="s">
        <v>696</v>
      </c>
      <c r="G177" s="4" t="str">
        <f>+1 773 844 1922</f>
        <v>#ERROR!</v>
      </c>
    </row>
    <row r="178">
      <c r="A178" s="2" t="s">
        <v>829</v>
      </c>
      <c r="B178" s="2" t="s">
        <v>338</v>
      </c>
      <c r="C178" s="2" t="s">
        <v>830</v>
      </c>
      <c r="D178" s="2" t="s">
        <v>831</v>
      </c>
      <c r="E178" s="3" t="s">
        <v>832</v>
      </c>
      <c r="F178" s="2" t="s">
        <v>433</v>
      </c>
      <c r="G178" s="4" t="str">
        <f>+1 415 353 5738</f>
        <v>#ERROR!</v>
      </c>
    </row>
    <row r="179">
      <c r="A179" s="2" t="s">
        <v>833</v>
      </c>
      <c r="B179" s="2" t="s">
        <v>283</v>
      </c>
      <c r="C179" s="2" t="s">
        <v>834</v>
      </c>
      <c r="D179" s="2" t="s">
        <v>835</v>
      </c>
      <c r="E179" s="3" t="s">
        <v>836</v>
      </c>
      <c r="F179" s="2" t="s">
        <v>433</v>
      </c>
      <c r="G179" s="4" t="str">
        <f>+1 718 343 3189</f>
        <v>#ERROR!</v>
      </c>
    </row>
    <row r="180">
      <c r="A180" s="2" t="s">
        <v>837</v>
      </c>
      <c r="B180" s="2" t="s">
        <v>838</v>
      </c>
      <c r="C180" s="2" t="s">
        <v>839</v>
      </c>
      <c r="D180" s="2" t="s">
        <v>840</v>
      </c>
      <c r="E180" s="3" t="s">
        <v>841</v>
      </c>
      <c r="F180" s="2" t="s">
        <v>195</v>
      </c>
      <c r="G180" s="4" t="str">
        <f>+1 219 237 9933</f>
        <v>#ERROR!</v>
      </c>
    </row>
    <row r="181">
      <c r="A181" s="2" t="s">
        <v>842</v>
      </c>
      <c r="B181" s="2" t="s">
        <v>255</v>
      </c>
      <c r="C181" s="2" t="s">
        <v>843</v>
      </c>
      <c r="D181" s="2" t="s">
        <v>844</v>
      </c>
      <c r="E181" s="3" t="s">
        <v>845</v>
      </c>
      <c r="F181" s="2" t="s">
        <v>433</v>
      </c>
      <c r="G181" s="4" t="str">
        <f>+1 626 606 4604</f>
        <v>#ERROR!</v>
      </c>
    </row>
    <row r="182">
      <c r="A182" s="2" t="s">
        <v>846</v>
      </c>
      <c r="B182" s="2" t="s">
        <v>847</v>
      </c>
      <c r="C182" s="2" t="s">
        <v>848</v>
      </c>
      <c r="D182" s="2" t="s">
        <v>849</v>
      </c>
      <c r="E182" s="2" t="s">
        <v>850</v>
      </c>
      <c r="F182" s="2" t="s">
        <v>433</v>
      </c>
      <c r="G182" s="4" t="str">
        <f>+1 424 266 9199</f>
        <v>#ERROR!</v>
      </c>
    </row>
    <row r="183">
      <c r="A183" s="2" t="s">
        <v>851</v>
      </c>
      <c r="B183" s="2" t="s">
        <v>852</v>
      </c>
      <c r="C183" s="2" t="s">
        <v>853</v>
      </c>
      <c r="D183" s="2" t="s">
        <v>854</v>
      </c>
      <c r="E183" s="3" t="s">
        <v>855</v>
      </c>
      <c r="F183" s="2" t="s">
        <v>564</v>
      </c>
      <c r="G183" s="4" t="str">
        <f>+1 319 540 8357</f>
        <v>#ERROR!</v>
      </c>
    </row>
    <row r="184">
      <c r="A184" s="2" t="s">
        <v>856</v>
      </c>
      <c r="B184" s="2" t="s">
        <v>857</v>
      </c>
      <c r="C184" s="2" t="s">
        <v>858</v>
      </c>
      <c r="D184" s="2" t="s">
        <v>859</v>
      </c>
      <c r="E184" s="3" t="s">
        <v>860</v>
      </c>
      <c r="F184" s="2" t="s">
        <v>195</v>
      </c>
      <c r="G184" s="4" t="str">
        <f>+1 915 352 6690</f>
        <v>#ERROR!</v>
      </c>
    </row>
    <row r="185">
      <c r="A185" s="2" t="s">
        <v>861</v>
      </c>
      <c r="B185" s="2" t="s">
        <v>737</v>
      </c>
      <c r="C185" s="2" t="s">
        <v>862</v>
      </c>
      <c r="D185" s="2" t="s">
        <v>863</v>
      </c>
      <c r="E185" s="3" t="s">
        <v>864</v>
      </c>
      <c r="F185" s="2" t="s">
        <v>564</v>
      </c>
      <c r="G185" s="4" t="str">
        <f>+1 800 759 3407</f>
        <v>#ERROR!</v>
      </c>
    </row>
    <row r="186">
      <c r="A186" s="2" t="s">
        <v>865</v>
      </c>
      <c r="B186" s="2" t="s">
        <v>344</v>
      </c>
      <c r="C186" s="2" t="s">
        <v>866</v>
      </c>
      <c r="D186" s="2" t="s">
        <v>867</v>
      </c>
      <c r="E186" s="3" t="s">
        <v>868</v>
      </c>
      <c r="F186" s="2" t="s">
        <v>433</v>
      </c>
      <c r="G186" s="4" t="str">
        <f>+1 312 595 9506</f>
        <v>#ERROR!</v>
      </c>
    </row>
    <row r="187">
      <c r="A187" s="2" t="s">
        <v>869</v>
      </c>
      <c r="B187" s="2" t="s">
        <v>69</v>
      </c>
      <c r="C187" s="2" t="s">
        <v>870</v>
      </c>
      <c r="D187" s="2" t="s">
        <v>871</v>
      </c>
      <c r="E187" s="3" t="s">
        <v>872</v>
      </c>
      <c r="F187" s="2" t="s">
        <v>433</v>
      </c>
      <c r="G187" s="4" t="str">
        <f>+1 732 581 1408</f>
        <v>#ERROR!</v>
      </c>
    </row>
    <row r="188">
      <c r="A188" s="2" t="s">
        <v>873</v>
      </c>
      <c r="B188" s="2" t="s">
        <v>874</v>
      </c>
      <c r="C188" s="2" t="s">
        <v>875</v>
      </c>
      <c r="D188" s="2" t="s">
        <v>876</v>
      </c>
      <c r="E188" s="3" t="s">
        <v>877</v>
      </c>
      <c r="F188" s="2" t="s">
        <v>564</v>
      </c>
      <c r="G188" s="4" t="str">
        <f>+1 209 283 2581</f>
        <v>#ERROR!</v>
      </c>
    </row>
    <row r="189">
      <c r="A189" s="1"/>
      <c r="B189" s="1"/>
      <c r="C189" s="1"/>
      <c r="D189" s="1"/>
      <c r="E189" s="1"/>
      <c r="F189" s="1"/>
      <c r="G189" s="1"/>
    </row>
    <row r="190">
      <c r="A190" s="2" t="s">
        <v>878</v>
      </c>
      <c r="B190" s="2" t="s">
        <v>607</v>
      </c>
      <c r="C190" s="2" t="s">
        <v>879</v>
      </c>
      <c r="D190" s="2" t="s">
        <v>880</v>
      </c>
      <c r="E190" s="3" t="s">
        <v>881</v>
      </c>
      <c r="F190" s="2" t="s">
        <v>195</v>
      </c>
      <c r="G190" s="4" t="str">
        <f>+1 478 455 7330</f>
        <v>#ERROR!</v>
      </c>
    </row>
    <row r="191">
      <c r="A191" s="2" t="s">
        <v>882</v>
      </c>
      <c r="B191" s="2" t="s">
        <v>883</v>
      </c>
      <c r="C191" s="2" t="s">
        <v>884</v>
      </c>
      <c r="D191" s="2" t="s">
        <v>885</v>
      </c>
      <c r="E191" s="3" t="s">
        <v>886</v>
      </c>
      <c r="F191" s="2" t="s">
        <v>28</v>
      </c>
      <c r="G191" s="4" t="str">
        <f>+1 909 485 8600</f>
        <v>#ERROR!</v>
      </c>
    </row>
    <row r="192">
      <c r="A192" s="2" t="s">
        <v>887</v>
      </c>
      <c r="B192" s="2" t="s">
        <v>888</v>
      </c>
      <c r="C192" s="2" t="s">
        <v>889</v>
      </c>
      <c r="D192" s="2" t="s">
        <v>890</v>
      </c>
      <c r="E192" s="3" t="s">
        <v>891</v>
      </c>
      <c r="F192" s="2" t="s">
        <v>892</v>
      </c>
      <c r="G192" s="4" t="str">
        <f>+1 610 524 7525</f>
        <v>#ERROR!</v>
      </c>
    </row>
    <row r="193">
      <c r="A193" s="2" t="s">
        <v>893</v>
      </c>
      <c r="B193" s="2" t="s">
        <v>894</v>
      </c>
      <c r="C193" s="2" t="s">
        <v>895</v>
      </c>
      <c r="D193" s="2" t="s">
        <v>896</v>
      </c>
      <c r="E193" s="3" t="s">
        <v>897</v>
      </c>
      <c r="F193" s="2" t="s">
        <v>898</v>
      </c>
      <c r="G193" s="4" t="str">
        <f>+1 575 912 1763</f>
        <v>#ERROR!</v>
      </c>
    </row>
    <row r="194">
      <c r="A194" s="2" t="s">
        <v>899</v>
      </c>
      <c r="B194" s="2" t="s">
        <v>737</v>
      </c>
      <c r="C194" s="2" t="s">
        <v>900</v>
      </c>
      <c r="D194" s="2" t="s">
        <v>901</v>
      </c>
      <c r="E194" s="3" t="s">
        <v>902</v>
      </c>
      <c r="F194" s="2" t="s">
        <v>903</v>
      </c>
      <c r="G194" s="4" t="str">
        <f>+1 678 748 2048</f>
        <v>#ERROR!</v>
      </c>
    </row>
    <row r="195">
      <c r="A195" s="2" t="s">
        <v>904</v>
      </c>
      <c r="B195" s="2" t="s">
        <v>69</v>
      </c>
      <c r="C195" s="2" t="s">
        <v>905</v>
      </c>
      <c r="D195" s="2" t="s">
        <v>906</v>
      </c>
      <c r="E195" s="3" t="s">
        <v>907</v>
      </c>
      <c r="F195" s="2" t="s">
        <v>696</v>
      </c>
      <c r="G195" s="4" t="str">
        <f>+1 917 675 2807</f>
        <v>#ERROR!</v>
      </c>
    </row>
    <row r="196">
      <c r="A196" s="2" t="s">
        <v>908</v>
      </c>
      <c r="B196" s="2" t="s">
        <v>69</v>
      </c>
      <c r="C196" s="2" t="s">
        <v>909</v>
      </c>
      <c r="D196" s="2" t="s">
        <v>910</v>
      </c>
      <c r="E196" s="3" t="s">
        <v>911</v>
      </c>
      <c r="F196" s="2" t="s">
        <v>912</v>
      </c>
      <c r="G196" s="4" t="str">
        <f>+1 732 397 2209</f>
        <v>#ERROR!</v>
      </c>
    </row>
    <row r="197">
      <c r="A197" s="2" t="s">
        <v>913</v>
      </c>
      <c r="B197" s="2" t="s">
        <v>550</v>
      </c>
      <c r="C197" s="2" t="s">
        <v>914</v>
      </c>
      <c r="D197" s="2" t="s">
        <v>915</v>
      </c>
      <c r="E197" s="3" t="s">
        <v>916</v>
      </c>
      <c r="F197" s="2" t="s">
        <v>917</v>
      </c>
      <c r="G197" s="4" t="str">
        <f>+1 305 239 7565</f>
        <v>#ERROR!</v>
      </c>
    </row>
    <row r="198">
      <c r="A198" s="2" t="s">
        <v>918</v>
      </c>
      <c r="B198" s="2" t="s">
        <v>919</v>
      </c>
      <c r="C198" s="2" t="s">
        <v>920</v>
      </c>
      <c r="D198" s="2" t="s">
        <v>921</v>
      </c>
      <c r="E198" s="3" t="s">
        <v>922</v>
      </c>
      <c r="F198" s="2" t="s">
        <v>660</v>
      </c>
      <c r="G198" s="4" t="str">
        <f>+34 345 758 5486</f>
        <v>#ERROR!</v>
      </c>
    </row>
    <row r="199">
      <c r="A199" s="2" t="s">
        <v>923</v>
      </c>
      <c r="B199" s="2" t="s">
        <v>371</v>
      </c>
      <c r="C199" s="2" t="s">
        <v>924</v>
      </c>
      <c r="D199" s="2" t="s">
        <v>925</v>
      </c>
      <c r="E199" s="3" t="s">
        <v>926</v>
      </c>
      <c r="F199" s="2" t="s">
        <v>433</v>
      </c>
      <c r="G199" s="4" t="str">
        <f>+1 305 887 6250</f>
        <v>#ERROR!</v>
      </c>
    </row>
    <row r="200">
      <c r="A200" s="2" t="s">
        <v>927</v>
      </c>
      <c r="B200" s="2" t="s">
        <v>928</v>
      </c>
      <c r="C200" s="2" t="s">
        <v>929</v>
      </c>
      <c r="D200" s="2" t="s">
        <v>930</v>
      </c>
      <c r="E200" s="2" t="s">
        <v>931</v>
      </c>
      <c r="F200" s="2" t="s">
        <v>433</v>
      </c>
      <c r="G200" s="4" t="str">
        <f>+1 626 604 1188</f>
        <v>#ERROR!</v>
      </c>
    </row>
    <row r="201">
      <c r="A201" s="2" t="s">
        <v>932</v>
      </c>
      <c r="B201" s="2" t="s">
        <v>283</v>
      </c>
      <c r="C201" s="2" t="s">
        <v>933</v>
      </c>
      <c r="D201" s="2" t="s">
        <v>934</v>
      </c>
      <c r="E201" s="3" t="s">
        <v>935</v>
      </c>
      <c r="F201" s="2" t="s">
        <v>660</v>
      </c>
      <c r="G201" s="4" t="str">
        <f>+1 302 648 8688</f>
        <v>#ERROR!</v>
      </c>
    </row>
    <row r="202">
      <c r="A202" s="2" t="s">
        <v>936</v>
      </c>
      <c r="B202" s="2" t="s">
        <v>371</v>
      </c>
      <c r="C202" s="2" t="s">
        <v>937</v>
      </c>
      <c r="D202" s="2" t="s">
        <v>938</v>
      </c>
      <c r="E202" s="3" t="s">
        <v>939</v>
      </c>
      <c r="F202" s="2" t="s">
        <v>660</v>
      </c>
      <c r="G202" s="4" t="str">
        <f>+1 305 599 2990</f>
        <v>#ERROR!</v>
      </c>
    </row>
    <row r="203">
      <c r="A203" s="2" t="s">
        <v>940</v>
      </c>
      <c r="B203" s="2" t="s">
        <v>266</v>
      </c>
      <c r="C203" s="2" t="s">
        <v>941</v>
      </c>
      <c r="D203" s="2" t="s">
        <v>942</v>
      </c>
      <c r="E203" s="3" t="s">
        <v>943</v>
      </c>
      <c r="F203" s="2" t="s">
        <v>433</v>
      </c>
      <c r="G203" s="4" t="str">
        <f>+1 312 237 3812</f>
        <v>#ERROR!</v>
      </c>
    </row>
    <row r="204">
      <c r="A204" s="2" t="s">
        <v>944</v>
      </c>
      <c r="B204" s="2" t="s">
        <v>471</v>
      </c>
      <c r="C204" s="2" t="s">
        <v>945</v>
      </c>
      <c r="D204" s="2" t="s">
        <v>946</v>
      </c>
      <c r="E204" s="3" t="s">
        <v>947</v>
      </c>
      <c r="F204" s="2" t="s">
        <v>660</v>
      </c>
      <c r="G204" s="4" t="str">
        <f>+1 305 468 3255</f>
        <v>#ERROR!</v>
      </c>
    </row>
    <row r="205">
      <c r="A205" s="2" t="s">
        <v>948</v>
      </c>
      <c r="B205" s="2" t="s">
        <v>949</v>
      </c>
      <c r="C205" s="2" t="s">
        <v>950</v>
      </c>
      <c r="D205" s="2" t="s">
        <v>951</v>
      </c>
      <c r="E205" s="3" t="s">
        <v>952</v>
      </c>
      <c r="F205" s="2" t="s">
        <v>953</v>
      </c>
      <c r="G205" s="4" t="str">
        <f>+1 956 635 9510</f>
        <v>#ERROR!</v>
      </c>
    </row>
    <row r="206">
      <c r="A206" s="2" t="s">
        <v>954</v>
      </c>
      <c r="B206" s="2" t="s">
        <v>371</v>
      </c>
      <c r="C206" s="2" t="s">
        <v>955</v>
      </c>
      <c r="D206" s="2" t="s">
        <v>956</v>
      </c>
      <c r="E206" s="3" t="s">
        <v>957</v>
      </c>
      <c r="F206" s="2" t="s">
        <v>660</v>
      </c>
      <c r="G206" s="4" t="str">
        <f>+1 305 400 4804</f>
        <v>#ERROR!</v>
      </c>
    </row>
    <row r="207">
      <c r="A207" s="2" t="s">
        <v>958</v>
      </c>
      <c r="B207" s="2" t="s">
        <v>283</v>
      </c>
      <c r="C207" s="2" t="s">
        <v>959</v>
      </c>
      <c r="D207" s="2" t="s">
        <v>960</v>
      </c>
      <c r="E207" s="3" t="s">
        <v>961</v>
      </c>
      <c r="F207" s="2" t="s">
        <v>433</v>
      </c>
      <c r="G207" s="4" t="str">
        <f>+1 832 229 1652</f>
        <v>#ERROR!</v>
      </c>
    </row>
    <row r="208">
      <c r="A208" s="2" t="s">
        <v>962</v>
      </c>
      <c r="B208" s="2" t="s">
        <v>635</v>
      </c>
      <c r="C208" s="2" t="s">
        <v>963</v>
      </c>
      <c r="D208" s="2" t="s">
        <v>964</v>
      </c>
      <c r="E208" s="3" t="s">
        <v>965</v>
      </c>
      <c r="F208" s="2" t="s">
        <v>433</v>
      </c>
      <c r="G208" s="4" t="str">
        <f>+1 714 363 7494</f>
        <v>#ERROR!</v>
      </c>
    </row>
    <row r="209">
      <c r="A209" s="2" t="s">
        <v>966</v>
      </c>
      <c r="B209" s="2" t="s">
        <v>266</v>
      </c>
      <c r="C209" s="2" t="s">
        <v>967</v>
      </c>
      <c r="D209" s="2" t="s">
        <v>968</v>
      </c>
      <c r="E209" s="3" t="s">
        <v>969</v>
      </c>
      <c r="F209" s="2" t="s">
        <v>970</v>
      </c>
      <c r="G209" s="4" t="str">
        <f>+1 217 559 5595</f>
        <v>#ERROR!</v>
      </c>
    </row>
    <row r="210">
      <c r="A210" s="1"/>
      <c r="B210" s="1"/>
      <c r="C210" s="1"/>
      <c r="D210" s="1"/>
      <c r="E210" s="1"/>
      <c r="F210" s="1"/>
      <c r="G210" s="1"/>
    </row>
    <row r="211">
      <c r="A211" s="2" t="s">
        <v>971</v>
      </c>
      <c r="B211" s="2" t="s">
        <v>587</v>
      </c>
      <c r="C211" s="2" t="s">
        <v>972</v>
      </c>
      <c r="D211" s="2" t="s">
        <v>973</v>
      </c>
      <c r="E211" s="3" t="s">
        <v>974</v>
      </c>
      <c r="F211" s="2" t="s">
        <v>433</v>
      </c>
      <c r="G211" s="4" t="str">
        <f>+1 206 274 1643</f>
        <v>#ERROR!</v>
      </c>
    </row>
    <row r="212">
      <c r="A212" s="2" t="s">
        <v>975</v>
      </c>
      <c r="B212" s="2" t="s">
        <v>283</v>
      </c>
      <c r="C212" s="2" t="s">
        <v>976</v>
      </c>
      <c r="D212" s="2" t="s">
        <v>977</v>
      </c>
      <c r="E212" s="3" t="s">
        <v>978</v>
      </c>
      <c r="F212" s="2" t="s">
        <v>433</v>
      </c>
      <c r="G212" s="4" t="str">
        <f>+1 516 468 9640</f>
        <v>#ERROR!</v>
      </c>
    </row>
    <row r="213">
      <c r="A213" s="2" t="s">
        <v>979</v>
      </c>
      <c r="B213" s="2" t="s">
        <v>980</v>
      </c>
      <c r="C213" s="2" t="s">
        <v>981</v>
      </c>
      <c r="D213" s="2" t="s">
        <v>982</v>
      </c>
      <c r="E213" s="2" t="s">
        <v>983</v>
      </c>
      <c r="F213" s="2" t="s">
        <v>696</v>
      </c>
      <c r="G213" s="4" t="str">
        <f>+1 503 703 3804</f>
        <v>#ERROR!</v>
      </c>
    </row>
    <row r="214">
      <c r="A214" s="2" t="s">
        <v>984</v>
      </c>
      <c r="B214" s="2" t="s">
        <v>371</v>
      </c>
      <c r="C214" s="2" t="s">
        <v>985</v>
      </c>
      <c r="D214" s="2" t="s">
        <v>986</v>
      </c>
      <c r="E214" s="3" t="s">
        <v>987</v>
      </c>
      <c r="F214" s="2" t="s">
        <v>433</v>
      </c>
      <c r="G214" s="4" t="str">
        <f>+1 614 696 8813</f>
        <v>#ERROR!</v>
      </c>
    </row>
    <row r="215">
      <c r="A215" s="2" t="s">
        <v>988</v>
      </c>
      <c r="B215" s="2" t="s">
        <v>989</v>
      </c>
      <c r="C215" s="2" t="s">
        <v>990</v>
      </c>
      <c r="D215" s="2" t="s">
        <v>991</v>
      </c>
      <c r="E215" s="3" t="s">
        <v>992</v>
      </c>
      <c r="F215" s="2" t="s">
        <v>660</v>
      </c>
      <c r="G215" s="4" t="str">
        <f>+1 949 496 6080</f>
        <v>#ERROR!</v>
      </c>
    </row>
    <row r="216">
      <c r="A216" s="2" t="s">
        <v>993</v>
      </c>
      <c r="B216" s="2" t="s">
        <v>371</v>
      </c>
      <c r="C216" s="2" t="s">
        <v>994</v>
      </c>
      <c r="D216" s="2" t="s">
        <v>995</v>
      </c>
      <c r="E216" s="3" t="s">
        <v>996</v>
      </c>
      <c r="F216" s="2" t="s">
        <v>433</v>
      </c>
      <c r="G216" s="4" t="str">
        <f>+1 829 630 0517</f>
        <v>#ERROR!</v>
      </c>
    </row>
    <row r="217">
      <c r="A217" s="2" t="s">
        <v>997</v>
      </c>
      <c r="B217" s="2" t="s">
        <v>998</v>
      </c>
      <c r="C217" s="2" t="s">
        <v>999</v>
      </c>
      <c r="D217" s="2" t="s">
        <v>1000</v>
      </c>
      <c r="E217" s="3" t="s">
        <v>1001</v>
      </c>
      <c r="F217" s="2" t="s">
        <v>970</v>
      </c>
      <c r="G217" s="4" t="str">
        <f>+1 463 777 6103</f>
        <v>#ERROR!</v>
      </c>
    </row>
    <row r="218">
      <c r="A218" s="2" t="s">
        <v>1002</v>
      </c>
      <c r="B218" s="2" t="s">
        <v>1003</v>
      </c>
      <c r="C218" s="2" t="s">
        <v>1004</v>
      </c>
      <c r="D218" s="2" t="s">
        <v>1005</v>
      </c>
      <c r="E218" s="3" t="s">
        <v>1006</v>
      </c>
      <c r="F218" s="2" t="s">
        <v>433</v>
      </c>
      <c r="G218" s="4" t="str">
        <f>+1 858 497 2036</f>
        <v>#ERROR!</v>
      </c>
    </row>
    <row r="219">
      <c r="A219" s="2" t="s">
        <v>1007</v>
      </c>
      <c r="B219" s="2" t="s">
        <v>277</v>
      </c>
      <c r="C219" s="2" t="s">
        <v>1008</v>
      </c>
      <c r="D219" s="2" t="s">
        <v>1009</v>
      </c>
      <c r="E219" s="3" t="s">
        <v>1010</v>
      </c>
      <c r="F219" s="2" t="s">
        <v>433</v>
      </c>
      <c r="G219" s="4" t="str">
        <f>+1 346 217 9989</f>
        <v>#ERROR!</v>
      </c>
    </row>
    <row r="220">
      <c r="A220" s="2" t="s">
        <v>1011</v>
      </c>
      <c r="B220" s="2" t="s">
        <v>374</v>
      </c>
      <c r="C220" s="2" t="s">
        <v>1012</v>
      </c>
      <c r="D220" s="2" t="s">
        <v>1013</v>
      </c>
      <c r="E220" s="3" t="s">
        <v>1014</v>
      </c>
      <c r="F220" s="2" t="s">
        <v>433</v>
      </c>
      <c r="G220" s="4" t="str">
        <f>+1 631 358 9653</f>
        <v>#ERROR!</v>
      </c>
    </row>
    <row r="221">
      <c r="A221" s="2" t="s">
        <v>1015</v>
      </c>
      <c r="B221" s="2" t="s">
        <v>1016</v>
      </c>
      <c r="C221" s="2" t="s">
        <v>1017</v>
      </c>
      <c r="D221" s="2" t="s">
        <v>1018</v>
      </c>
      <c r="E221" s="3" t="s">
        <v>1019</v>
      </c>
      <c r="F221" s="2" t="s">
        <v>195</v>
      </c>
      <c r="G221" s="4" t="str">
        <f>+1 347 962 8768</f>
        <v>#ERROR!</v>
      </c>
    </row>
    <row r="222">
      <c r="A222" s="2" t="s">
        <v>1020</v>
      </c>
      <c r="B222" s="2" t="s">
        <v>1021</v>
      </c>
      <c r="C222" s="2" t="s">
        <v>1022</v>
      </c>
      <c r="D222" s="2" t="s">
        <v>1023</v>
      </c>
      <c r="E222" s="3" t="s">
        <v>1024</v>
      </c>
      <c r="F222" s="2" t="s">
        <v>1025</v>
      </c>
      <c r="G222" s="4" t="str">
        <f>+1 201 927 5798</f>
        <v>#ERROR!</v>
      </c>
    </row>
    <row r="223">
      <c r="A223" s="2" t="s">
        <v>1026</v>
      </c>
      <c r="B223" s="2" t="s">
        <v>1027</v>
      </c>
      <c r="C223" s="2" t="s">
        <v>1028</v>
      </c>
      <c r="D223" s="2" t="s">
        <v>1029</v>
      </c>
      <c r="E223" s="3" t="s">
        <v>1030</v>
      </c>
      <c r="F223" s="2" t="s">
        <v>1031</v>
      </c>
      <c r="G223" s="4" t="str">
        <f>+1 553 140 4480</f>
        <v>#ERROR!</v>
      </c>
    </row>
    <row r="224">
      <c r="A224" s="2" t="s">
        <v>1032</v>
      </c>
      <c r="B224" s="2" t="s">
        <v>1033</v>
      </c>
      <c r="C224" s="2" t="s">
        <v>1034</v>
      </c>
      <c r="D224" s="2" t="s">
        <v>1035</v>
      </c>
      <c r="E224" s="3" t="s">
        <v>1036</v>
      </c>
      <c r="F224" s="2" t="s">
        <v>433</v>
      </c>
      <c r="G224" s="4" t="str">
        <f>+1 727 460 2801</f>
        <v>#ERROR!</v>
      </c>
    </row>
    <row r="225">
      <c r="A225" s="2" t="s">
        <v>1037</v>
      </c>
      <c r="B225" s="2" t="s">
        <v>371</v>
      </c>
      <c r="C225" s="2" t="s">
        <v>1038</v>
      </c>
      <c r="D225" s="2" t="s">
        <v>1039</v>
      </c>
      <c r="E225" s="3" t="s">
        <v>1040</v>
      </c>
      <c r="F225" s="2" t="s">
        <v>433</v>
      </c>
      <c r="G225" s="4" t="str">
        <f>+1 305 929 3680</f>
        <v>#ERROR!</v>
      </c>
    </row>
    <row r="226">
      <c r="A226" s="2" t="s">
        <v>1041</v>
      </c>
      <c r="B226" s="2" t="s">
        <v>1042</v>
      </c>
      <c r="C226" s="2" t="s">
        <v>1043</v>
      </c>
      <c r="D226" s="2" t="s">
        <v>1044</v>
      </c>
      <c r="E226" s="3" t="s">
        <v>1045</v>
      </c>
      <c r="F226" s="2" t="s">
        <v>433</v>
      </c>
      <c r="G226" s="4" t="str">
        <f>+1 818 741 4006</f>
        <v>#ERROR!</v>
      </c>
    </row>
    <row r="227">
      <c r="A227" s="2" t="s">
        <v>1046</v>
      </c>
      <c r="B227" s="2" t="s">
        <v>1047</v>
      </c>
      <c r="C227" s="2" t="s">
        <v>1048</v>
      </c>
      <c r="D227" s="2" t="s">
        <v>1049</v>
      </c>
      <c r="E227" s="3" t="s">
        <v>1050</v>
      </c>
      <c r="F227" s="2" t="s">
        <v>433</v>
      </c>
      <c r="G227" s="4" t="str">
        <f>+1 479 315 0032</f>
        <v>#ERROR!</v>
      </c>
    </row>
    <row r="228">
      <c r="A228" s="2" t="s">
        <v>1051</v>
      </c>
      <c r="B228" s="2" t="s">
        <v>1052</v>
      </c>
      <c r="C228" s="2" t="s">
        <v>1053</v>
      </c>
      <c r="D228" s="2" t="s">
        <v>1054</v>
      </c>
      <c r="E228" s="3" t="s">
        <v>1055</v>
      </c>
      <c r="F228" s="2" t="s">
        <v>1056</v>
      </c>
      <c r="G228" s="4" t="str">
        <f>+1 706 254 7574</f>
        <v>#ERROR!</v>
      </c>
    </row>
    <row r="229">
      <c r="A229" s="2" t="s">
        <v>1057</v>
      </c>
      <c r="B229" s="2" t="s">
        <v>1058</v>
      </c>
      <c r="C229" s="2" t="s">
        <v>1059</v>
      </c>
      <c r="D229" s="2" t="s">
        <v>1060</v>
      </c>
      <c r="E229" s="3" t="s">
        <v>1061</v>
      </c>
      <c r="F229" s="2" t="s">
        <v>433</v>
      </c>
      <c r="G229" s="4" t="str">
        <f>+1 209 290 0491</f>
        <v>#ERROR!</v>
      </c>
    </row>
    <row r="230">
      <c r="A230" s="2" t="s">
        <v>1062</v>
      </c>
      <c r="B230" s="2" t="s">
        <v>69</v>
      </c>
      <c r="C230" s="2" t="s">
        <v>1063</v>
      </c>
      <c r="D230" s="2" t="s">
        <v>1064</v>
      </c>
      <c r="E230" s="3" t="s">
        <v>1065</v>
      </c>
      <c r="F230" s="2" t="s">
        <v>1066</v>
      </c>
      <c r="G230" s="4" t="str">
        <f>+1 570 585 5547</f>
        <v>#ERROR!</v>
      </c>
    </row>
    <row r="231">
      <c r="A231" s="1"/>
      <c r="B231" s="1"/>
      <c r="C231" s="1"/>
      <c r="D231" s="1"/>
      <c r="E231" s="1"/>
      <c r="F231" s="1"/>
      <c r="G231" s="1"/>
    </row>
    <row r="232">
      <c r="A232" s="2" t="s">
        <v>1067</v>
      </c>
      <c r="B232" s="2" t="s">
        <v>1068</v>
      </c>
      <c r="C232" s="2" t="s">
        <v>1069</v>
      </c>
      <c r="D232" s="2" t="s">
        <v>1070</v>
      </c>
      <c r="E232" s="3" t="s">
        <v>1071</v>
      </c>
      <c r="F232" s="2" t="s">
        <v>1072</v>
      </c>
      <c r="G232" s="4" t="str">
        <f>+1 346 697 0004</f>
        <v>#ERROR!</v>
      </c>
    </row>
    <row r="233">
      <c r="A233" s="2" t="s">
        <v>1073</v>
      </c>
      <c r="B233" s="2" t="s">
        <v>1074</v>
      </c>
      <c r="C233" s="2" t="s">
        <v>1075</v>
      </c>
      <c r="D233" s="2" t="s">
        <v>1076</v>
      </c>
      <c r="E233" s="3" t="s">
        <v>1077</v>
      </c>
      <c r="F233" s="2" t="s">
        <v>433</v>
      </c>
      <c r="G233" s="4" t="str">
        <f>+1 954 869 0198</f>
        <v>#ERROR!</v>
      </c>
    </row>
    <row r="234">
      <c r="A234" s="2" t="s">
        <v>1078</v>
      </c>
      <c r="B234" s="2" t="s">
        <v>598</v>
      </c>
      <c r="C234" s="2" t="s">
        <v>1079</v>
      </c>
      <c r="D234" s="2" t="s">
        <v>1080</v>
      </c>
      <c r="E234" s="3" t="s">
        <v>1081</v>
      </c>
      <c r="F234" s="2" t="s">
        <v>104</v>
      </c>
      <c r="G234" s="4" t="str">
        <f>+1 732 456 3405</f>
        <v>#ERROR!</v>
      </c>
    </row>
    <row r="235">
      <c r="A235" s="2" t="s">
        <v>1082</v>
      </c>
      <c r="B235" s="2" t="s">
        <v>371</v>
      </c>
      <c r="C235" s="2" t="s">
        <v>1083</v>
      </c>
      <c r="D235" s="2" t="s">
        <v>1084</v>
      </c>
      <c r="E235" s="3" t="s">
        <v>1085</v>
      </c>
      <c r="F235" s="2" t="s">
        <v>1086</v>
      </c>
      <c r="G235" s="4" t="str">
        <f>+1 786 593 4651</f>
        <v>#ERROR!</v>
      </c>
    </row>
    <row r="236">
      <c r="A236" s="2" t="s">
        <v>1087</v>
      </c>
      <c r="B236" s="2" t="s">
        <v>1088</v>
      </c>
      <c r="C236" s="2" t="s">
        <v>1089</v>
      </c>
      <c r="D236" s="2" t="s">
        <v>1090</v>
      </c>
      <c r="E236" s="3" t="s">
        <v>1091</v>
      </c>
      <c r="F236" s="2" t="s">
        <v>433</v>
      </c>
      <c r="G236" s="4" t="str">
        <f>+1 312 975 2255</f>
        <v>#ERROR!</v>
      </c>
    </row>
    <row r="237">
      <c r="A237" s="2" t="s">
        <v>1092</v>
      </c>
      <c r="B237" s="2" t="s">
        <v>1093</v>
      </c>
      <c r="C237" s="2" t="s">
        <v>1094</v>
      </c>
      <c r="D237" s="2" t="s">
        <v>1095</v>
      </c>
      <c r="E237" s="3" t="s">
        <v>1096</v>
      </c>
      <c r="F237" s="2" t="s">
        <v>433</v>
      </c>
      <c r="G237" s="4" t="str">
        <f>+1 313 332 8469</f>
        <v>#ERROR!</v>
      </c>
    </row>
    <row r="238">
      <c r="A238" s="2" t="s">
        <v>1097</v>
      </c>
      <c r="B238" s="2" t="s">
        <v>1098</v>
      </c>
      <c r="C238" s="2" t="s">
        <v>1099</v>
      </c>
      <c r="D238" s="2" t="s">
        <v>1100</v>
      </c>
      <c r="E238" s="3" t="s">
        <v>1101</v>
      </c>
      <c r="F238" s="2" t="s">
        <v>433</v>
      </c>
      <c r="G238" s="4" t="str">
        <f>+1 323 300 0739</f>
        <v>#ERROR!</v>
      </c>
    </row>
    <row r="239">
      <c r="A239" s="2" t="s">
        <v>1102</v>
      </c>
      <c r="B239" s="2" t="s">
        <v>1103</v>
      </c>
      <c r="C239" s="2" t="s">
        <v>1104</v>
      </c>
      <c r="D239" s="2" t="s">
        <v>1105</v>
      </c>
      <c r="E239" s="3" t="s">
        <v>1106</v>
      </c>
      <c r="F239" s="2" t="s">
        <v>433</v>
      </c>
      <c r="G239" s="4" t="str">
        <f>+1 754 249 1015</f>
        <v>#ERROR!</v>
      </c>
    </row>
    <row r="240">
      <c r="A240" s="2" t="s">
        <v>1107</v>
      </c>
      <c r="B240" s="2" t="s">
        <v>277</v>
      </c>
      <c r="C240" s="2" t="s">
        <v>1108</v>
      </c>
      <c r="D240" s="2" t="s">
        <v>1109</v>
      </c>
      <c r="E240" s="3" t="s">
        <v>1110</v>
      </c>
      <c r="F240" s="2" t="s">
        <v>1031</v>
      </c>
      <c r="G240" s="4" t="str">
        <f>+1 817 422 4409</f>
        <v>#ERROR!</v>
      </c>
    </row>
    <row r="241">
      <c r="A241" s="2" t="s">
        <v>1111</v>
      </c>
      <c r="B241" s="2" t="s">
        <v>1112</v>
      </c>
      <c r="C241" s="2" t="s">
        <v>1113</v>
      </c>
      <c r="D241" s="2" t="s">
        <v>1114</v>
      </c>
      <c r="E241" s="3" t="s">
        <v>1115</v>
      </c>
      <c r="F241" s="2" t="s">
        <v>433</v>
      </c>
      <c r="G241" s="4" t="str">
        <f>+1 972 924 0994</f>
        <v>#ERROR!</v>
      </c>
    </row>
    <row r="242">
      <c r="A242" s="2" t="s">
        <v>1116</v>
      </c>
      <c r="B242" s="2" t="s">
        <v>332</v>
      </c>
      <c r="C242" s="2" t="s">
        <v>1117</v>
      </c>
      <c r="D242" s="2" t="s">
        <v>1118</v>
      </c>
      <c r="E242" s="3" t="s">
        <v>1119</v>
      </c>
      <c r="F242" s="2" t="s">
        <v>433</v>
      </c>
      <c r="G242" s="4" t="str">
        <f>+1 209 493 8562</f>
        <v>#ERROR!</v>
      </c>
    </row>
    <row r="243">
      <c r="A243" s="2" t="s">
        <v>1120</v>
      </c>
      <c r="B243" s="2" t="s">
        <v>413</v>
      </c>
      <c r="C243" s="2" t="s">
        <v>1121</v>
      </c>
      <c r="D243" s="2" t="s">
        <v>1122</v>
      </c>
      <c r="E243" s="3" t="s">
        <v>1123</v>
      </c>
      <c r="F243" s="2" t="s">
        <v>433</v>
      </c>
      <c r="G243" s="4" t="str">
        <f>+1 209 259 2931</f>
        <v>#ERROR!</v>
      </c>
    </row>
    <row r="244">
      <c r="A244" s="2" t="s">
        <v>1124</v>
      </c>
      <c r="B244" s="2" t="s">
        <v>413</v>
      </c>
      <c r="C244" s="2" t="s">
        <v>1125</v>
      </c>
      <c r="D244" s="2" t="s">
        <v>1126</v>
      </c>
      <c r="E244" s="3" t="s">
        <v>1127</v>
      </c>
      <c r="F244" s="2" t="s">
        <v>433</v>
      </c>
      <c r="G244" s="4" t="str">
        <f>+1 772 946 6474</f>
        <v>#ERROR!</v>
      </c>
    </row>
    <row r="245">
      <c r="A245" s="2" t="s">
        <v>1128</v>
      </c>
      <c r="B245" s="2" t="s">
        <v>332</v>
      </c>
      <c r="C245" s="2" t="s">
        <v>1129</v>
      </c>
      <c r="D245" s="2" t="s">
        <v>1130</v>
      </c>
      <c r="E245" s="3" t="s">
        <v>1131</v>
      </c>
      <c r="F245" s="2" t="s">
        <v>433</v>
      </c>
      <c r="G245" s="4" t="str">
        <f>+1 281 831 2769</f>
        <v>#ERROR!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4"/>
    <hyperlink r:id="rId42" ref="E45"/>
    <hyperlink r:id="rId43" ref="E46"/>
    <hyperlink r:id="rId44" ref="E47"/>
    <hyperlink r:id="rId45" ref="E48"/>
    <hyperlink r:id="rId46" ref="E49"/>
    <hyperlink r:id="rId47" ref="E50"/>
    <hyperlink r:id="rId48" ref="E51"/>
    <hyperlink r:id="rId49" ref="E52"/>
    <hyperlink r:id="rId50" ref="E53"/>
    <hyperlink r:id="rId51" ref="E54"/>
    <hyperlink r:id="rId52" ref="E55"/>
    <hyperlink r:id="rId53" ref="E56"/>
    <hyperlink r:id="rId54" ref="E57"/>
    <hyperlink r:id="rId55" ref="E58"/>
    <hyperlink r:id="rId56" ref="E59"/>
    <hyperlink r:id="rId57" ref="E60"/>
    <hyperlink r:id="rId58" ref="E61"/>
    <hyperlink r:id="rId59" ref="E62"/>
    <hyperlink r:id="rId60" ref="E63"/>
    <hyperlink r:id="rId61" ref="E65"/>
    <hyperlink r:id="rId62" ref="E66"/>
    <hyperlink r:id="rId63" ref="E67"/>
    <hyperlink r:id="rId64" ref="E68"/>
    <hyperlink r:id="rId65" ref="E69"/>
    <hyperlink r:id="rId66" ref="E70"/>
    <hyperlink r:id="rId67" ref="E71"/>
    <hyperlink r:id="rId68" ref="E72"/>
    <hyperlink r:id="rId69" ref="E73"/>
    <hyperlink r:id="rId70" ref="E74"/>
    <hyperlink r:id="rId71" ref="E75"/>
    <hyperlink r:id="rId72" ref="E76"/>
    <hyperlink r:id="rId73" ref="E77"/>
    <hyperlink r:id="rId74" ref="E78"/>
    <hyperlink r:id="rId75" ref="E79"/>
    <hyperlink r:id="rId76" ref="E80"/>
    <hyperlink r:id="rId77" ref="E81"/>
    <hyperlink r:id="rId78" ref="E82"/>
    <hyperlink r:id="rId79" ref="E83"/>
    <hyperlink r:id="rId80" ref="E84"/>
    <hyperlink r:id="rId81" ref="E85"/>
    <hyperlink r:id="rId82" ref="E87"/>
    <hyperlink r:id="rId83" ref="E88"/>
    <hyperlink r:id="rId84" ref="E89"/>
    <hyperlink r:id="rId85" ref="E90"/>
    <hyperlink r:id="rId86" ref="E91"/>
    <hyperlink r:id="rId87" ref="E92"/>
    <hyperlink r:id="rId88" ref="E93"/>
    <hyperlink r:id="rId89" ref="E94"/>
    <hyperlink r:id="rId90" ref="E95"/>
    <hyperlink r:id="rId91" ref="E96"/>
    <hyperlink r:id="rId92" ref="E97"/>
    <hyperlink r:id="rId93" ref="E98"/>
    <hyperlink r:id="rId94" ref="E99"/>
    <hyperlink r:id="rId95" ref="E100"/>
    <hyperlink r:id="rId96" ref="E101"/>
    <hyperlink r:id="rId97" ref="E102"/>
    <hyperlink r:id="rId98" ref="E103"/>
    <hyperlink r:id="rId99" ref="E104"/>
    <hyperlink r:id="rId100" ref="E105"/>
    <hyperlink r:id="rId101" ref="E106"/>
    <hyperlink r:id="rId102" ref="E108"/>
    <hyperlink r:id="rId103" ref="E109"/>
    <hyperlink r:id="rId104" ref="E110"/>
    <hyperlink r:id="rId105" ref="E111"/>
    <hyperlink r:id="rId106" ref="E112"/>
    <hyperlink r:id="rId107" ref="E113"/>
    <hyperlink r:id="rId108" ref="E114"/>
    <hyperlink r:id="rId109" ref="E115"/>
    <hyperlink r:id="rId110" ref="E116"/>
    <hyperlink r:id="rId111" ref="E117"/>
    <hyperlink r:id="rId112" ref="E118"/>
    <hyperlink r:id="rId113" ref="E119"/>
    <hyperlink r:id="rId114" ref="E120"/>
    <hyperlink r:id="rId115" ref="E121"/>
    <hyperlink r:id="rId116" ref="E122"/>
    <hyperlink r:id="rId117" ref="E123"/>
    <hyperlink r:id="rId118" ref="E124"/>
    <hyperlink r:id="rId119" ref="E125"/>
    <hyperlink r:id="rId120" ref="E126"/>
    <hyperlink r:id="rId121" ref="E127"/>
    <hyperlink r:id="rId122" ref="E129"/>
    <hyperlink r:id="rId123" ref="E130"/>
    <hyperlink r:id="rId124" ref="E131"/>
    <hyperlink r:id="rId125" ref="E132"/>
    <hyperlink r:id="rId126" ref="E133"/>
    <hyperlink r:id="rId127" ref="E134"/>
    <hyperlink r:id="rId128" ref="E135"/>
    <hyperlink r:id="rId129" ref="E136"/>
    <hyperlink r:id="rId130" ref="E137"/>
    <hyperlink r:id="rId131" ref="E138"/>
    <hyperlink r:id="rId132" ref="E139"/>
    <hyperlink r:id="rId133" ref="E140"/>
    <hyperlink r:id="rId134" ref="E141"/>
    <hyperlink r:id="rId135" ref="E142"/>
    <hyperlink r:id="rId136" ref="E144"/>
    <hyperlink r:id="rId137" ref="E146"/>
    <hyperlink r:id="rId138" ref="E147"/>
    <hyperlink r:id="rId139" ref="E148"/>
    <hyperlink r:id="rId140" ref="E150"/>
    <hyperlink r:id="rId141" ref="E151"/>
    <hyperlink r:id="rId142" ref="E152"/>
    <hyperlink r:id="rId143" ref="E153"/>
    <hyperlink r:id="rId144" ref="E154"/>
    <hyperlink r:id="rId145" ref="E155"/>
    <hyperlink r:id="rId146" ref="E157"/>
    <hyperlink r:id="rId147" ref="E158"/>
    <hyperlink r:id="rId148" ref="E159"/>
    <hyperlink r:id="rId149" ref="E160"/>
    <hyperlink r:id="rId150" ref="E161"/>
    <hyperlink r:id="rId151" ref="E162"/>
    <hyperlink r:id="rId152" ref="E163"/>
    <hyperlink r:id="rId153" ref="E164"/>
    <hyperlink r:id="rId154" ref="E165"/>
    <hyperlink r:id="rId155" ref="E166"/>
    <hyperlink r:id="rId156" ref="E167"/>
    <hyperlink r:id="rId157" ref="E168"/>
    <hyperlink r:id="rId158" ref="E170"/>
    <hyperlink r:id="rId159" ref="E171"/>
    <hyperlink r:id="rId160" ref="E172"/>
    <hyperlink r:id="rId161" ref="E173"/>
    <hyperlink r:id="rId162" ref="E175"/>
    <hyperlink r:id="rId163" ref="E176"/>
    <hyperlink r:id="rId164" ref="E177"/>
    <hyperlink r:id="rId165" ref="E178"/>
    <hyperlink r:id="rId166" ref="E179"/>
    <hyperlink r:id="rId167" ref="E180"/>
    <hyperlink r:id="rId168" ref="E181"/>
    <hyperlink r:id="rId169" ref="E183"/>
    <hyperlink r:id="rId170" ref="E184"/>
    <hyperlink r:id="rId171" ref="E185"/>
    <hyperlink r:id="rId172" ref="E186"/>
    <hyperlink r:id="rId173" ref="E187"/>
    <hyperlink r:id="rId174" ref="E188"/>
    <hyperlink r:id="rId175" ref="E190"/>
    <hyperlink r:id="rId176" ref="E191"/>
    <hyperlink r:id="rId177" ref="E192"/>
    <hyperlink r:id="rId178" ref="E193"/>
    <hyperlink r:id="rId179" ref="E194"/>
    <hyperlink r:id="rId180" ref="E195"/>
    <hyperlink r:id="rId181" ref="E196"/>
    <hyperlink r:id="rId182" ref="E197"/>
    <hyperlink r:id="rId183" ref="E198"/>
    <hyperlink r:id="rId184" ref="E199"/>
    <hyperlink r:id="rId185" ref="E201"/>
    <hyperlink r:id="rId186" ref="E202"/>
    <hyperlink r:id="rId187" ref="E203"/>
    <hyperlink r:id="rId188" ref="E204"/>
    <hyperlink r:id="rId189" ref="E205"/>
    <hyperlink r:id="rId190" ref="E206"/>
    <hyperlink r:id="rId191" ref="E207"/>
    <hyperlink r:id="rId192" ref="E208"/>
    <hyperlink r:id="rId193" ref="E209"/>
    <hyperlink r:id="rId194" ref="E211"/>
    <hyperlink r:id="rId195" ref="E212"/>
    <hyperlink r:id="rId196" ref="E214"/>
    <hyperlink r:id="rId197" ref="E215"/>
    <hyperlink r:id="rId198" ref="E216"/>
    <hyperlink r:id="rId199" ref="E217"/>
    <hyperlink r:id="rId200" ref="E218"/>
    <hyperlink r:id="rId201" ref="E219"/>
    <hyperlink r:id="rId202" ref="E220"/>
    <hyperlink r:id="rId203" ref="E221"/>
    <hyperlink r:id="rId204" ref="E222"/>
    <hyperlink r:id="rId205" ref="E223"/>
    <hyperlink r:id="rId206" ref="E224"/>
    <hyperlink r:id="rId207" ref="E225"/>
    <hyperlink r:id="rId208" ref="E226"/>
    <hyperlink r:id="rId209" ref="E227"/>
    <hyperlink r:id="rId210" ref="E228"/>
    <hyperlink r:id="rId211" ref="E229"/>
    <hyperlink r:id="rId212" ref="E230"/>
    <hyperlink r:id="rId213" ref="E232"/>
    <hyperlink r:id="rId214" ref="E233"/>
    <hyperlink r:id="rId215" ref="E234"/>
    <hyperlink r:id="rId216" ref="E235"/>
    <hyperlink r:id="rId217" ref="E236"/>
    <hyperlink r:id="rId218" ref="E237"/>
    <hyperlink r:id="rId219" ref="E238"/>
    <hyperlink r:id="rId220" ref="E239"/>
    <hyperlink r:id="rId221" ref="E240"/>
    <hyperlink r:id="rId222" ref="E241"/>
    <hyperlink r:id="rId223" ref="E242"/>
    <hyperlink r:id="rId224" ref="E243"/>
    <hyperlink r:id="rId225" ref="E244"/>
    <hyperlink r:id="rId226" ref="E245"/>
  </hyperlinks>
  <drawing r:id="rId227"/>
</worksheet>
</file>